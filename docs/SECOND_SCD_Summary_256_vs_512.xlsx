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mmary" sheetId="1" state="visible" r:id="rId3"/>
    <sheet name="2. What Changed" sheetId="2" state="visible" r:id="rId4"/>
    <sheet name="3. Models &amp; Algorithms" sheetId="3" state="visible" r:id="rId5"/>
    <sheet name="4. Loss Functions" sheetId="4" state="visible" r:id="rId6"/>
    <sheet name="5. Evaluation Metrics" sheetId="5" state="visible" r:id="rId7"/>
    <sheet name="6. Results 256 (Before)" sheetId="6" state="visible" r:id="rId8"/>
    <sheet name="7. Results 512 (After)" sheetId="7" state="visible" r:id="rId9"/>
    <sheet name="8. 256 vs 512" sheetId="8" state="visible" r:id="rId10"/>
    <sheet name="9. Confusion Matrix" sheetId="9" state="visible" r:id="rId11"/>
    <sheet name="10. Fit Check" sheetId="10" state="visible" r:id="rId12"/>
    <sheet name="11. vs Research Papers" sheetId="11" state="visible" r:id="rId13"/>
    <sheet name="12. Notes &amp; Next Step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<sst xmlns="http://schemas.openxmlformats.org/spreadsheetml/2006/main" count="466" uniqueCount="286">
  <si>
    <t xml:space="preserve">SECOND Semantic Change Detection - Results Summary</t>
  </si>
  <si>
    <t xml:space="preserve">Dataset: SECOND (2,968 bi-temporal aerial image pairs, 6 land-cover classes). Same 70/10/20 train/val/test split (seed 0) in both experiments. All numbers are on the TEST set.</t>
  </si>
  <si>
    <t xml:space="preserve">Best result: Before vs After</t>
  </si>
  <si>
    <t xml:space="preserve">Metric</t>
  </si>
  <si>
    <t xml:space="preserve">Before (256x256)</t>
  </si>
  <si>
    <t xml:space="preserve">After (512x512)</t>
  </si>
  <si>
    <t xml:space="preserve">Gain (points)</t>
  </si>
  <si>
    <t xml:space="preserve">Meaning</t>
  </si>
  <si>
    <t xml:space="preserve">Best model</t>
  </si>
  <si>
    <t xml:space="preserve">Bi-SRNet</t>
  </si>
  <si>
    <t xml:space="preserve">Bi-SRNet-DF (proposed) + TTA</t>
  </si>
  <si>
    <t xml:space="preserve">New model designed in this work beats all baselines</t>
  </si>
  <si>
    <t xml:space="preserve">Best loss</t>
  </si>
  <si>
    <t xml:space="preserve">WCE + Dice</t>
  </si>
  <si>
    <t xml:space="preserve">CE + Dice</t>
  </si>
  <si>
    <t xml:space="preserve">Chosen automatically by best validation SeK (no test leakage)</t>
  </si>
  <si>
    <t xml:space="preserve">SeK % (main metric)</t>
  </si>
  <si>
    <t xml:space="preserve">Semantic change accuracy, penalises chance agreement. Main ranking metric in papers</t>
  </si>
  <si>
    <t xml:space="preserve">Fscd %</t>
  </si>
  <si>
    <t xml:space="preserve">F1 of correctly classified changed pixels</t>
  </si>
  <si>
    <t xml:space="preserve">mIoU %</t>
  </si>
  <si>
    <t xml:space="preserve">How well change vs no-change is separated</t>
  </si>
  <si>
    <t xml:space="preserve">OA %</t>
  </si>
  <si>
    <t xml:space="preserve">Share of all pixels correct (dominated by no-change)</t>
  </si>
  <si>
    <t xml:space="preserve">Relative SeK improvement</t>
  </si>
  <si>
    <t xml:space="preserve">~51% higher SeK than the previous best</t>
  </si>
  <si>
    <t xml:space="preserve">Key talking points for the meeting</t>
  </si>
  <si>
    <t xml:space="preserve">1. Using native 512x512 images instead of down-sampled 256x256 gave the biggest jump: +4.2 to +5.8 SeK for every model and loss combination.</t>
  </si>
  <si>
    <t xml:space="preserve">2. Model ranking is stable at both resolutions: Bi-SRNet &gt; SSCD &gt; Early Fusion. Siamese (shared-weight) encoders clearly beat early fusion.</t>
  </si>
  <si>
    <t xml:space="preserve">3. The proposed Bi-SRNet-DF (difference features + SE attention + semantic-difference prior) adds +1.23 SeK over the best Bi-SRNet; flip TTA adds +0.62 more.</t>
  </si>
  <si>
    <t xml:space="preserve">4. All models are well balanced (no overfitting / underfitting): train-vs-validation SeK gap is at most ~2 points.</t>
  </si>
  <si>
    <t xml:space="preserve">5. Against published papers: beats ASN-ATL, HRSCD.str4 and SRDFNet (2026); mIoU equals SSCD-l. Top papers (Mamba-FCS 25.50) remain ahead, mainly due to much larger encoders.</t>
  </si>
  <si>
    <t xml:space="preserve">6. Hardest classes are low vegetation and water (few training pixels). Building and playground are detected best.</t>
  </si>
  <si>
    <t xml:space="preserve">7. Comparison with papers is indicative only: papers train on all 2,968 pairs and often test on the official 1,694-pair set; this work trains on 70% of the public pairs.</t>
  </si>
  <si>
    <t xml:space="preserve">What was done before, what changed, and why it is better</t>
  </si>
  <si>
    <t xml:space="preserve">Aspect</t>
  </si>
  <si>
    <t xml:space="preserve">Before (256x256 run)</t>
  </si>
  <si>
    <t xml:space="preserve">After (512x512 run)</t>
  </si>
  <si>
    <t xml:space="preserve">Why it is better</t>
  </si>
  <si>
    <t xml:space="preserve">Image size</t>
  </si>
  <si>
    <t xml:space="preserve">256 x 256 (down-sampled from 512 because of GPU limits)</t>
  </si>
  <si>
    <t xml:space="preserve">512 x 512 native resolution, no resizing</t>
  </si>
  <si>
    <t xml:space="preserve">Small objects (water, low vegetation, playgrounds) and building edges are preserved instead of being blurred away.</t>
  </si>
  <si>
    <t xml:space="preserve">Backbone (encoder)</t>
  </si>
  <si>
    <t xml:space="preserve">ResNet-18 (ImageNet pretrained)</t>
  </si>
  <si>
    <t xml:space="preserve">ResNet-34 (ImageNet pretrained)</t>
  </si>
  <si>
    <t xml:space="preserve">Deeper encoder = richer features. ResNet-34 is the backbone used by Bi-SRNet, SCanNet and LSAFNet papers, making comparison fairer.</t>
  </si>
  <si>
    <t xml:space="preserve">Bi-SRNet implementation</t>
  </si>
  <si>
    <t xml:space="preserve">Siamese + one cross-attention at the deepest layer</t>
  </si>
  <si>
    <t xml:space="preserve">Intra-temporal self-attention + cross-temporal attention (Semantic Reasoning blocks) at 1/16 and 1/32 scale + semantic consistency loss</t>
  </si>
  <si>
    <t xml:space="preserve">Matches the original Bi-SRNet paper design; each date reasons about its own context and about the other date.</t>
  </si>
  <si>
    <t xml:space="preserve">Decoder</t>
  </si>
  <si>
    <t xml:space="preserve">Small FPN, 64 channels</t>
  </si>
  <si>
    <t xml:space="preserve">Panoptic-style FPN, 128 channels, all 4 levels fused</t>
  </si>
  <si>
    <t xml:space="preserve">Combines fine detail (1/4) with global context (1/32) for sharper masks.</t>
  </si>
  <si>
    <t xml:space="preserve">New proposed model</t>
  </si>
  <si>
    <t xml:space="preserve">None</t>
  </si>
  <si>
    <t xml:space="preserve">Bi-SRNet-DF: [T1, T2, |T1-T2|] differential features at every scale + SE channel attention + semantic-difference prior |sem(T1)-sem(T2)| fed to the change head</t>
  </si>
  <si>
    <t xml:space="preserve">Gives the network an explicit "what changed" signal; +1.23 SeK over Bi-SRNet with the same loss.</t>
  </si>
  <si>
    <t xml:space="preserve">Augmentation</t>
  </si>
  <si>
    <t xml:space="preserve">Horizontal flip + 90-degree rotation</t>
  </si>
  <si>
    <t xml:space="preserve">Flip + rotation + T1/T2 temporal swap + random scale crop (1.0-1.5x) + brightness/contrast jitter</t>
  </si>
  <si>
    <t xml:space="preserve">More varied training data reduces overfitting and improves robustness to lighting and scale.</t>
  </si>
  <si>
    <t xml:space="preserve">Optimiser / schedule</t>
  </si>
  <si>
    <t xml:space="preserve">AdamW, cosine per epoch, 20 epochs</t>
  </si>
  <si>
    <t xml:space="preserve">AdamW, 1-epoch warm-up + cosine per iteration, gradient clipping, 30 epochs (50 for proposed)</t>
  </si>
  <si>
    <t xml:space="preserve">More stable training and more epochs for the larger input.</t>
  </si>
  <si>
    <t xml:space="preserve">Inference</t>
  </si>
  <si>
    <t xml:space="preserve">Single prediction, change threshold 0.5</t>
  </si>
  <si>
    <t xml:space="preserve">Flip test-time augmentation (4 flips averaged) + change threshold tuned on validation</t>
  </si>
  <si>
    <t xml:space="preserve">Averaging removes random errors; +0.62 SeK. Tuned threshold stayed 0.5 (confirms model is well calibrated).</t>
  </si>
  <si>
    <t xml:space="preserve">Loss selection</t>
  </si>
  <si>
    <t xml:space="preserve">Five losses compared on Bi-SRNet</t>
  </si>
  <si>
    <t xml:space="preserve">Same five losses re-compared at 512; best chosen by validation SeK</t>
  </si>
  <si>
    <t xml:space="preserve">Avoids choosing on the test set. CE + Dice won at 512 (WCE + Dice won at 256).</t>
  </si>
  <si>
    <t xml:space="preserve">Data pipeline</t>
  </si>
  <si>
    <t xml:space="preserve">Whole dataset loaded on GPU</t>
  </si>
  <si>
    <t xml:space="preserve">Images read from disk with background prefetching, RAM-leak fixes, single GPU</t>
  </si>
  <si>
    <t xml:space="preserve">512 data (~6 GB) does not fit on GPU; pipeline now runs 10+ hours stably on Kaggle T4.</t>
  </si>
  <si>
    <t xml:space="preserve">Reliability</t>
  </si>
  <si>
    <t xml:space="preserve">Auto-resume from last epoch + 12-hour time guard</t>
  </si>
  <si>
    <t xml:space="preserve">Long runs survive Kaggle session limits.</t>
  </si>
  <si>
    <t xml:space="preserve">Train / val / test split</t>
  </si>
  <si>
    <t xml:space="preserve">70 / 10 / 20, seed 0</t>
  </si>
  <si>
    <t xml:space="preserve">Identical 70 / 10 / 20, seed 0</t>
  </si>
  <si>
    <t xml:space="preserve">Same test images in both experiments, so 256 vs 512 numbers are directly comparable.</t>
  </si>
  <si>
    <t xml:space="preserve">Models (algorithms) compared</t>
  </si>
  <si>
    <t xml:space="preserve">All models output: one binary change map + one 6-class semantic map for T1 and one for T2.</t>
  </si>
  <si>
    <t xml:space="preserve">Model</t>
  </si>
  <si>
    <t xml:space="preserve">Type</t>
  </si>
  <si>
    <t xml:space="preserve">How it works</t>
  </si>
  <si>
    <t xml:space="preserve">Parameters</t>
  </si>
  <si>
    <t xml:space="preserve">Early Fusion</t>
  </si>
  <si>
    <t xml:space="preserve">Single-stream CNN</t>
  </si>
  <si>
    <t xml:space="preserve">T1 and T2 images are stacked into one 6-channel input and passed through one ResNet-34 encoder + FPN decoder. Simple, but the network must learn the comparison itself.</t>
  </si>
  <si>
    <t xml:space="preserve">23.0 M</t>
  </si>
  <si>
    <t xml:space="preserve">SSCD (Siamese Semantic Change Detection)</t>
  </si>
  <si>
    <t xml:space="preserve">Siamese CNN</t>
  </si>
  <si>
    <t xml:space="preserve">Same ResNet-34 encoder (shared weights) runs on T1 and T2 separately. One decoder predicts semantics for each date; a second decoder uses concatenated T1+T2 features to predict change.</t>
  </si>
  <si>
    <t xml:space="preserve">24.3 M</t>
  </si>
  <si>
    <t xml:space="preserve">Bi-SRNet (Bi-temporal Semantic Reasoning Network)</t>
  </si>
  <si>
    <t xml:space="preserve">Siamese CNN + attention</t>
  </si>
  <si>
    <t xml:space="preserve">SSCD + Semantic Reasoning blocks: self-attention inside each date and cross-attention between dates at 1/16 and 1/32 scale, plus a semantic consistency loss (same class where unchanged, different class where changed).</t>
  </si>
  <si>
    <t xml:space="preserve">25.9 M</t>
  </si>
  <si>
    <t xml:space="preserve">Bi-SRNet-DF (proposed)</t>
  </si>
  <si>
    <t xml:space="preserve">Siamese CNN + attention + difference fusion</t>
  </si>
  <si>
    <t xml:space="preserve">Bi-SRNet + (a) differential features [T1, T2, |T1-T2|] at every scale, (b) Squeeze-and-Excitation channel attention to weight useful channels, (c) change head also receives |semantic(T1) - semantic(T2)| as a prior.</t>
  </si>
  <si>
    <t xml:space="preserve">27.0 M</t>
  </si>
  <si>
    <t xml:space="preserve">Common settings: ResNet-34 ImageNet-pretrained backbone, 128-channel FPN decoder, AdamW (lr 3e-4, weight decay 1e-4), batch 8, mixed precision, one NVIDIA T4 GPU (Kaggle).</t>
  </si>
  <si>
    <t xml:space="preserve">Loss functions compared (Experiment 2, on Bi-SRNet)</t>
  </si>
  <si>
    <t xml:space="preserve">Every loss also includes binary cross-entropy for the change map. Test SeK shown.</t>
  </si>
  <si>
    <t xml:space="preserve">Loss</t>
  </si>
  <si>
    <t xml:space="preserve">What it does</t>
  </si>
  <si>
    <t xml:space="preserve">SeK at 256</t>
  </si>
  <si>
    <t xml:space="preserve">SeK at 512</t>
  </si>
  <si>
    <t xml:space="preserve">CE (Cross-Entropy)</t>
  </si>
  <si>
    <t xml:space="preserve">Standard per-pixel classification loss. Treats all classes equally, so frequent classes dominate.</t>
  </si>
  <si>
    <t xml:space="preserve">WCE (Weighted Cross-Entropy)</t>
  </si>
  <si>
    <t xml:space="preserve">Cross-entropy with class weights = 1/sqrt(class frequency), so rare classes (water, playground) count more.</t>
  </si>
  <si>
    <t xml:space="preserve">Focal loss</t>
  </si>
  <si>
    <t xml:space="preserve">Down-weights easy pixels ((1-p)^2 factor) to focus learning on hard pixels.</t>
  </si>
  <si>
    <t xml:space="preserve">CE (Cross-Entropy) + Dice</t>
  </si>
  <si>
    <t xml:space="preserve">CE plus Dice loss. Dice directly optimises overlap (IoU-like) of predicted and true regions, good for imbalanced masks.</t>
  </si>
  <si>
    <t xml:space="preserve">WCE (Weighted Cross-Entropy) + Dice</t>
  </si>
  <si>
    <t xml:space="preserve">Weighted CE plus Dice: combines rare-class weighting with overlap optimisation.</t>
  </si>
  <si>
    <t xml:space="preserve">Bi-SRNet and the proposed model also add a semantic consistency term (cosine similarity of T1/T2 class probabilities: high where unchanged, low where changed).</t>
  </si>
  <si>
    <t xml:space="preserve">Best at 256: WCE + Dice (13.92). Best at 512: CE + Dice (19.15). At 512 rare classes are already visible, so extra class weighting helps less; Dice is the common winner.</t>
  </si>
  <si>
    <t xml:space="preserve">Evaluation metrics used (standard for SECOND)</t>
  </si>
  <si>
    <t xml:space="preserve">Formula</t>
  </si>
  <si>
    <t xml:space="preserve">SeK - Separated Kappa (MAIN)</t>
  </si>
  <si>
    <t xml:space="preserve">Kappa agreement of semantic labels computed only on changed pixels (true no-change pixels removed), multiplied by exp(IoU_change - 1). Rewards correct "from-to" classes and punishes chance agreement. Official ranking metric of SECOND.</t>
  </si>
  <si>
    <t xml:space="preserve">SeK = Kappa_noTN x e^(IoU_change - 1)</t>
  </si>
  <si>
    <t xml:space="preserve">Fscd - F1 for semantic change</t>
  </si>
  <si>
    <t xml:space="preserve">Harmonic mean of precision and recall, where a changed pixel counts as correct only if its semantic class is also correct.</t>
  </si>
  <si>
    <t xml:space="preserve">Fscd = 2PR / (P + R)</t>
  </si>
  <si>
    <t xml:space="preserve">mIoU - mean IoU</t>
  </si>
  <si>
    <t xml:space="preserve">Average of IoU(change) and IoU(no-change). Measures binary change detection quality.</t>
  </si>
  <si>
    <t xml:space="preserve">mIoU = (IoU_nc + IoU_c) / 2</t>
  </si>
  <si>
    <t xml:space="preserve">OA - Overall Accuracy</t>
  </si>
  <si>
    <t xml:space="preserve">Share of all pixels classified correctly. Usually high because ~80% of pixels are no-change, so less informative.</t>
  </si>
  <si>
    <t xml:space="preserve">OA = correct / total</t>
  </si>
  <si>
    <t xml:space="preserve">Precision</t>
  </si>
  <si>
    <t xml:space="preserve">Of pixels predicted as changed, how many truly changed.</t>
  </si>
  <si>
    <t xml:space="preserve">TP / (TP + FP)</t>
  </si>
  <si>
    <t xml:space="preserve">Recall (TPR)</t>
  </si>
  <si>
    <t xml:space="preserve">Of truly changed pixels, how many were found.</t>
  </si>
  <si>
    <t xml:space="preserve">TP / (TP + FN)</t>
  </si>
  <si>
    <t xml:space="preserve">F1 (binary change)</t>
  </si>
  <si>
    <t xml:space="preserve">Balance of precision and recall for change vs no-change.</t>
  </si>
  <si>
    <t xml:space="preserve">2TP / (2TP + FP + FN)</t>
  </si>
  <si>
    <t xml:space="preserve">IoU per class</t>
  </si>
  <si>
    <t xml:space="preserve">Overlap between predicted and true region for each class (no change + 6 land-cover classes).</t>
  </si>
  <si>
    <t xml:space="preserve">TP / (TP + FP + FN)</t>
  </si>
  <si>
    <t xml:space="preserve">Confusion matrix terms</t>
  </si>
  <si>
    <t xml:space="preserve">TP = changed pixel predicted changed, FP = unchanged predicted changed, FN = changed predicted unchanged, TN = unchanged predicted unchanged.</t>
  </si>
  <si>
    <t xml:space="preserve">Results 256 (Before)</t>
  </si>
  <si>
    <t xml:space="preserve">Test set, 256x256, ResNet-18, 20 epochs. Exp 1 = rows 1-3 (models, CE). Exp 2 = rows 3-7 (losses on Bi-SRNet).</t>
  </si>
  <si>
    <t xml:space="preserve">SeK (Separated Kappa) %</t>
  </si>
  <si>
    <t xml:space="preserve">Fscd (F1-score for Semantic Change Detection) %</t>
  </si>
  <si>
    <t xml:space="preserve">mIoU (mean Intersection over Union) %</t>
  </si>
  <si>
    <t xml:space="preserve">OA (Overall Accuracy) %</t>
  </si>
  <si>
    <t xml:space="preserve">Precision %</t>
  </si>
  <si>
    <t xml:space="preserve">Recall %</t>
  </si>
  <si>
    <t xml:space="preserve">F1 (F1-score) %</t>
  </si>
  <si>
    <t xml:space="preserve">IoU no change %</t>
  </si>
  <si>
    <t xml:space="preserve">IoU non-vegetated ground %</t>
  </si>
  <si>
    <t xml:space="preserve">IoU tree %</t>
  </si>
  <si>
    <t xml:space="preserve">IoU low vegetation %</t>
  </si>
  <si>
    <t xml:space="preserve">IoU water %</t>
  </si>
  <si>
    <t xml:space="preserve">IoU building %</t>
  </si>
  <si>
    <t xml:space="preserve">IoU playground %</t>
  </si>
  <si>
    <t xml:space="preserve">SSCD</t>
  </si>
  <si>
    <t xml:space="preserve">Results 512 (After)</t>
  </si>
  <si>
    <t xml:space="preserve">Test set, 512x512, ResNet-34, 30 epochs (50 for proposed). Exp 1 = rows 1-3, Exp 2 = rows 3-7, Exp 3 = rows 8-9 (proposed model).</t>
  </si>
  <si>
    <t xml:space="preserve">CE (Cross-Entropy) + Dice + TTA + threshold 0.5</t>
  </si>
  <si>
    <t xml:space="preserve">Same model + same loss: 256x256 vs 512x512 (test set)</t>
  </si>
  <si>
    <t xml:space="preserve">Gain columns are Excel formulas (512 minus 256).</t>
  </si>
  <si>
    <t xml:space="preserve">SeK 256</t>
  </si>
  <si>
    <t xml:space="preserve">SeK 512</t>
  </si>
  <si>
    <t xml:space="preserve">Fscd 256</t>
  </si>
  <si>
    <t xml:space="preserve">Fscd 512</t>
  </si>
  <si>
    <t xml:space="preserve">mIoU 256</t>
  </si>
  <si>
    <t xml:space="preserve">mIoU 512</t>
  </si>
  <si>
    <t xml:space="preserve">OA 256</t>
  </si>
  <si>
    <t xml:space="preserve">OA 512</t>
  </si>
  <si>
    <t xml:space="preserve">SeK gain</t>
  </si>
  <si>
    <t xml:space="preserve">mIoU gain</t>
  </si>
  <si>
    <t xml:space="preserve">Average gain</t>
  </si>
  <si>
    <t xml:space="preserve">Best before (256)</t>
  </si>
  <si>
    <t xml:space="preserve">Best after: proposed + TTA (512)</t>
  </si>
  <si>
    <t xml:space="preserve">Total SeK gain</t>
  </si>
  <si>
    <t xml:space="preserve">Binary change confusion matrix (pixels, test set, T1 and T2 pooled)</t>
  </si>
  <si>
    <t xml:space="preserve">Positive = changed pixel. Rates are Excel formulas.</t>
  </si>
  <si>
    <t xml:space="preserve">Before: 256x256</t>
  </si>
  <si>
    <t xml:space="preserve">TP</t>
  </si>
  <si>
    <t xml:space="preserve">FP</t>
  </si>
  <si>
    <t xml:space="preserve">FN</t>
  </si>
  <si>
    <t xml:space="preserve">TN</t>
  </si>
  <si>
    <t xml:space="preserve">FPR</t>
  </si>
  <si>
    <t xml:space="preserve">FNR</t>
  </si>
  <si>
    <t xml:space="preserve">Specificity (TNR)</t>
  </si>
  <si>
    <t xml:space="preserve">Early</t>
  </si>
  <si>
    <t xml:space="preserve">After: 512x512</t>
  </si>
  <si>
    <t xml:space="preserve">Per-class result of the best model (one-vs-rest pixels)</t>
  </si>
  <si>
    <t xml:space="preserve">Before: Bi-SRNet, WCE+Dice (256)</t>
  </si>
  <si>
    <t xml:space="preserve">Recall</t>
  </si>
  <si>
    <t xml:space="preserve">IoU</t>
  </si>
  <si>
    <t xml:space="preserve">no change</t>
  </si>
  <si>
    <t xml:space="preserve">non-vegetated ground</t>
  </si>
  <si>
    <t xml:space="preserve">tree</t>
  </si>
  <si>
    <t xml:space="preserve">low vegetation</t>
  </si>
  <si>
    <t xml:space="preserve">water</t>
  </si>
  <si>
    <t xml:space="preserve">building</t>
  </si>
  <si>
    <t xml:space="preserve">playground</t>
  </si>
  <si>
    <t xml:space="preserve">After: Bi-SRNet-DF + TTA (512)</t>
  </si>
  <si>
    <t xml:space="preserve">Reading: recall of changed pixels rose from 65.4% to 72.4% (fewer missed changes) while specificity stayed ~93-94%. Weakest classes: low vegetation and water (very few training pixels).</t>
  </si>
  <si>
    <t xml:space="preserve">Overfitting / underfitting check</t>
  </si>
  <si>
    <t xml:space="preserve">Gap = Train SeK - best Validation SeK (formula). Small gap = balanced. Large gap = overfitting. Low train AND val = underfitting.</t>
  </si>
  <si>
    <t xml:space="preserve">Best epoch</t>
  </si>
  <si>
    <t xml:space="preserve">Epochs</t>
  </si>
  <si>
    <t xml:space="preserve">Train SeK</t>
  </si>
  <si>
    <t xml:space="preserve">Validation SeK</t>
  </si>
  <si>
    <t xml:space="preserve">Gap (Train-Val)</t>
  </si>
  <si>
    <t xml:space="preserve">Val drop after best</t>
  </si>
  <si>
    <t xml:space="preserve">Verdict</t>
  </si>
  <si>
    <t xml:space="preserve">Verdict: the 512 models are better balanced than the 256 models. At 256 the train-val gap was 3-10 points (mild overfitting); at 512 it is at most ~2 points.</t>
  </si>
  <si>
    <t xml:space="preserve">Why: larger input (more information per image) + stronger augmentation (temporal swap, scale, colour) act as regularisation.</t>
  </si>
  <si>
    <t xml:space="preserve">Validation SeK drops by less than 1 point after the best epoch, so training is stable and the best checkpoint was kept automatically (early-stopping style).</t>
  </si>
  <si>
    <t xml:space="preserve">Early Fusion has train SeK below validation SeK, meaning it is capacity-limited (slight underfitting), which explains why it is the weakest model.</t>
  </si>
  <si>
    <t xml:space="preserve">Comparison with published methods on SECOND (sorted by SeK)</t>
  </si>
  <si>
    <t xml:space="preserve">Published numbers as reported by the papers. Protocols differ (see Notes), so this comparison is indicative.</t>
  </si>
  <si>
    <t xml:space="preserve">Method</t>
  </si>
  <si>
    <t xml:space="preserve">Venue / year</t>
  </si>
  <si>
    <t xml:space="preserve">SeK %</t>
  </si>
  <si>
    <t xml:space="preserve">Notes</t>
  </si>
  <si>
    <t xml:space="preserve">ASN-ATL (SECOND dataset paper)</t>
  </si>
  <si>
    <t xml:space="preserve">TGRS 2021</t>
  </si>
  <si>
    <t xml:space="preserve">Original SECOND benchmark model</t>
  </si>
  <si>
    <t xml:space="preserve">HRSCD.str4</t>
  </si>
  <si>
    <t xml:space="preserve">CVIU 2019</t>
  </si>
  <si>
    <t xml:space="preserve">Reported in Bi-SRNet / LSAFNet comparisons</t>
  </si>
  <si>
    <t xml:space="preserve">SRDFNet</t>
  </si>
  <si>
    <t xml:space="preserve">Sensors 2026</t>
  </si>
  <si>
    <t xml:space="preserve">PVT-v2 transformer backbone</t>
  </si>
  <si>
    <t xml:space="preserve">OURS: Bi-SRNet-DF + TTA (512)</t>
  </si>
  <si>
    <t xml:space="preserve">This work</t>
  </si>
  <si>
    <t xml:space="preserve">ResNet-34, single T4 GPU, 70% of public data for training</t>
  </si>
  <si>
    <t xml:space="preserve">SSCD-l</t>
  </si>
  <si>
    <t xml:space="preserve">TGRS 2022</t>
  </si>
  <si>
    <t xml:space="preserve">ResNet-34</t>
  </si>
  <si>
    <t xml:space="preserve">Bi-SRNet (paper)</t>
  </si>
  <si>
    <t xml:space="preserve">ResNet-34; other papers report 23.22-23.59</t>
  </si>
  <si>
    <t xml:space="preserve">SCanNet</t>
  </si>
  <si>
    <t xml:space="preserve">TGRS 2024</t>
  </si>
  <si>
    <t xml:space="preserve">Transformer</t>
  </si>
  <si>
    <t xml:space="preserve">BT-SCD</t>
  </si>
  <si>
    <t xml:space="preserve">TNNLS 2025</t>
  </si>
  <si>
    <t xml:space="preserve">DEFO-MLTSCD</t>
  </si>
  <si>
    <t xml:space="preserve">ChangeMamba (MambaSCD-Base)</t>
  </si>
  <si>
    <t xml:space="preserve">VMamba-Base backbone</t>
  </si>
  <si>
    <t xml:space="preserve">DBTANet</t>
  </si>
  <si>
    <t xml:space="preserve">arXiv 2026</t>
  </si>
  <si>
    <t xml:space="preserve">Frozen SAM + ResNet-34</t>
  </si>
  <si>
    <t xml:space="preserve">LSAFNet</t>
  </si>
  <si>
    <t xml:space="preserve">arXiv 2024</t>
  </si>
  <si>
    <t xml:space="preserve">Mamba-FCS (current best found)</t>
  </si>
  <si>
    <t xml:space="preserve">arXiv 2025</t>
  </si>
  <si>
    <t xml:space="preserve">VMamba-Base + FFT fusion + change-guided attention + SeK loss</t>
  </si>
  <si>
    <t xml:space="preserve">Methods with lower SeK than ours</t>
  </si>
  <si>
    <t xml:space="preserve">Gap to current best (Mamba-FCS)</t>
  </si>
  <si>
    <t xml:space="preserve">Achieved: beats ASN-ATL, HRSCD.str4 and the 2026 SRDFNet on SeK and mIoU; mIoU matches SSCD-l.</t>
  </si>
  <si>
    <t xml:space="preserve">Gap to the top is mainly the encoder: Mamba-FCS ablation shows its VMamba-Base backbone alone (ChangeMamba) reaches 24.11; its added modules give ~+1.4.</t>
  </si>
  <si>
    <t xml:space="preserve">Sources: LSAFNet arXiv 2406.10678; Mamba-FCS arXiv 2508.08232; DBTANet arXiv 2602.11466; SRDFNet MDPI Sensors 26(11):3427.</t>
  </si>
  <si>
    <t xml:space="preserve">Notes, caveats and next steps</t>
  </si>
  <si>
    <t xml:space="preserve">HONEST CAVEATS</t>
  </si>
  <si>
    <t xml:space="preserve">- This work trains on 70% of the 2,968 public pairs (2,077) and tests on its own 20% (594). Papers train on all 2,968 and often test on the official 1,694-pair test set, so paper numbers are not strictly apples-to-apples.</t>
  </si>
  <si>
    <t xml:space="preserve">- The same method is reported differently across papers (Bi-SRNet: 22.43 / 23.22 / 23.59), which shows how much the protocol matters.</t>
  </si>
  <si>
    <t xml:space="preserve">- The strongest fair claim: on the same data and split, the proposed Bi-SRNet-DF beats every baseline, and 512 resolution adds ~5.5 SeK.</t>
  </si>
  <si>
    <t xml:space="preserve">- Loss and model choices were made on the VALIDATION set; the test set was used only for final reporting.</t>
  </si>
  <si>
    <t xml:space="preserve">COMPUTE</t>
  </si>
  <si>
    <t xml:space="preserve">- Kaggle free tier, one NVIDIA T4 (16 GB), mixed precision, ~10 hours total over two sessions with automatic resume.</t>
  </si>
  <si>
    <t xml:space="preserve">NEXT STEPS TO REACH THE TOP</t>
  </si>
  <si>
    <t xml:space="preserve">1. Use the paper protocol (train on all public pairs, standard test set) for an apples-to-apples comparison.</t>
  </si>
  <si>
    <t xml:space="preserve">2. Replace ResNet-34 with a stronger encoder (VMamba-Base as in Mamba-FCS, or ConvNeXt / PVT-v2).</t>
  </si>
  <si>
    <t xml:space="preserve">3. Add SeK + mIoU losses and change-guided attention (as in Mamba-FCS), keeping this work's semantic-difference prior, Dice and consistency loss (bidirectional guidance = novel contribution).</t>
  </si>
  <si>
    <t xml:space="preserve">4. EMA / checkpoint averaging and multi-scale TTA.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</si>
</sst>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%"/>
    <numFmt numFmtId="167" formatCode="#,##0"/>
    <numFmt numFmtId="168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BBF7D0"/>
        <bgColor rgb="FFCCFFFF"/>
      </patternFill>
    </fill>
    <fill>
      <patternFill patternType="solid">
        <fgColor rgb="FFDCFC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23.85" hidden="false" customHeight="false" outlineLevel="0" collapsed="false">
      <c r="A6" s="6" t="s">
        <v>8</v>
      </c>
      <c r="B6" s="6" t="s">
        <v>9</v>
      </c>
      <c r="C6" s="6" t="s">
        <v>10</v>
      </c>
      <c r="D6" s="6"/>
      <c r="E6" s="6" t="s">
        <v>11</v>
      </c>
    </row>
    <row r="7" customFormat="false" ht="15" hidden="false" customHeight="false" outlineLevel="0" collapsed="false">
      <c r="A7" s="6" t="s">
        <v>12</v>
      </c>
      <c r="B7" s="6" t="s">
        <v>13</v>
      </c>
      <c r="C7" s="6" t="s">
        <v>14</v>
      </c>
      <c r="D7" s="6"/>
      <c r="E7" s="6" t="s">
        <v>15</v>
      </c>
    </row>
    <row r="8" customFormat="false" ht="23.85" hidden="false" customHeight="false" outlineLevel="0" collapsed="false">
      <c r="A8" s="7" t="s">
        <v>16</v>
      </c>
      <c r="B8" s="8" t="n">
        <v>13.92</v>
      </c>
      <c r="C8" s="8" t="n">
        <v>21</v>
      </c>
      <c r="D8" s="8" t="n">
        <f aca="false">C8-B8</f>
        <v>7.08</v>
      </c>
      <c r="E8" s="7" t="s">
        <v>17</v>
      </c>
    </row>
    <row r="9" customFormat="false" ht="15" hidden="false" customHeight="false" outlineLevel="0" collapsed="false">
      <c r="A9" s="6" t="s">
        <v>18</v>
      </c>
      <c r="B9" s="9" t="n">
        <v>53.38</v>
      </c>
      <c r="C9" s="9" t="n">
        <v>60.22</v>
      </c>
      <c r="D9" s="9" t="n">
        <f aca="false">C9-B9</f>
        <v>6.84</v>
      </c>
      <c r="E9" s="6" t="s">
        <v>19</v>
      </c>
    </row>
    <row r="10" customFormat="false" ht="15" hidden="false" customHeight="false" outlineLevel="0" collapsed="false">
      <c r="A10" s="6" t="s">
        <v>20</v>
      </c>
      <c r="B10" s="9" t="n">
        <v>67.6</v>
      </c>
      <c r="C10" s="9" t="n">
        <v>72.62</v>
      </c>
      <c r="D10" s="9" t="n">
        <f aca="false">C10-B10</f>
        <v>5.02000000000001</v>
      </c>
      <c r="E10" s="6" t="s">
        <v>21</v>
      </c>
    </row>
    <row r="11" customFormat="false" ht="15" hidden="false" customHeight="false" outlineLevel="0" collapsed="false">
      <c r="A11" s="6" t="s">
        <v>22</v>
      </c>
      <c r="B11" s="9" t="n">
        <v>84.68</v>
      </c>
      <c r="C11" s="9" t="n">
        <v>87.08</v>
      </c>
      <c r="D11" s="9" t="n">
        <f aca="false">C11-B11</f>
        <v>2.39999999999999</v>
      </c>
      <c r="E11" s="6" t="s">
        <v>23</v>
      </c>
    </row>
    <row r="12" customFormat="false" ht="15" hidden="false" customHeight="false" outlineLevel="0" collapsed="false">
      <c r="A12" s="10" t="s">
        <v>24</v>
      </c>
      <c r="B12" s="2"/>
      <c r="C12" s="2"/>
      <c r="D12" s="11" t="n">
        <f aca="false">(C8-B8)/B8</f>
        <v>0.508620689655172</v>
      </c>
      <c r="E12" s="12" t="s">
        <v>25</v>
      </c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4" t="s">
        <v>26</v>
      </c>
      <c r="B14" s="2"/>
      <c r="C14" s="2"/>
      <c r="D14" s="2"/>
      <c r="E14" s="2"/>
    </row>
    <row r="15" customFormat="false" ht="30" hidden="false" customHeight="true" outlineLevel="0" collapsed="false">
      <c r="A15" s="13" t="s">
        <v>27</v>
      </c>
      <c r="B15" s="13"/>
      <c r="C15" s="13"/>
      <c r="D15" s="13"/>
      <c r="E15" s="13"/>
    </row>
    <row r="16" customFormat="false" ht="30" hidden="false" customHeight="true" outlineLevel="0" collapsed="false">
      <c r="A16" s="13" t="s">
        <v>28</v>
      </c>
      <c r="B16" s="13"/>
      <c r="C16" s="13"/>
      <c r="D16" s="13"/>
      <c r="E16" s="13"/>
    </row>
    <row r="17" customFormat="false" ht="30" hidden="false" customHeight="true" outlineLevel="0" collapsed="false">
      <c r="A17" s="13" t="s">
        <v>29</v>
      </c>
      <c r="B17" s="13"/>
      <c r="C17" s="13"/>
      <c r="D17" s="13"/>
      <c r="E17" s="13"/>
    </row>
    <row r="18" customFormat="false" ht="30" hidden="false" customHeight="true" outlineLevel="0" collapsed="false">
      <c r="A18" s="13" t="s">
        <v>30</v>
      </c>
      <c r="B18" s="13"/>
      <c r="C18" s="13"/>
      <c r="D18" s="13"/>
      <c r="E18" s="13"/>
    </row>
    <row r="19" customFormat="false" ht="30" hidden="false" customHeight="true" outlineLevel="0" collapsed="false">
      <c r="A19" s="13" t="s">
        <v>31</v>
      </c>
      <c r="B19" s="13"/>
      <c r="C19" s="13"/>
      <c r="D19" s="13"/>
      <c r="E19" s="13"/>
    </row>
    <row r="20" customFormat="false" ht="30" hidden="false" customHeight="true" outlineLevel="0" collapsed="false">
      <c r="A20" s="13" t="s">
        <v>32</v>
      </c>
      <c r="B20" s="13"/>
      <c r="C20" s="13"/>
      <c r="D20" s="13"/>
      <c r="E20" s="13"/>
    </row>
    <row r="21" customFormat="false" ht="30" hidden="false" customHeight="true" outlineLevel="0" collapsed="false">
      <c r="A21" s="13" t="s">
        <v>33</v>
      </c>
      <c r="B21" s="13"/>
      <c r="C21" s="13"/>
      <c r="D21" s="13"/>
      <c r="E21" s="13"/>
    </row>
  </sheetData>
  <mergeCells count="7">
    <mergeCell ref="A15:E15"/>
    <mergeCell ref="A16:E16"/>
    <mergeCell ref="A17:E17"/>
    <mergeCell ref="A18:E18"/>
    <mergeCell ref="A19:E19"/>
    <mergeCell ref="A20:E20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4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34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5" t="s">
        <v>35</v>
      </c>
      <c r="B3" s="5" t="s">
        <v>36</v>
      </c>
      <c r="C3" s="5" t="s">
        <v>37</v>
      </c>
      <c r="D3" s="5" t="s">
        <v>38</v>
      </c>
    </row>
    <row r="4" customFormat="false" ht="23.85" hidden="false" customHeight="false" outlineLevel="0" collapsed="false">
      <c r="A4" s="6" t="s">
        <v>39</v>
      </c>
      <c r="B4" s="6" t="s">
        <v>40</v>
      </c>
      <c r="C4" s="6" t="s">
        <v>41</v>
      </c>
      <c r="D4" s="6" t="s">
        <v>42</v>
      </c>
    </row>
    <row r="5" customFormat="false" ht="23.85" hidden="false" customHeight="false" outlineLevel="0" collapsed="false">
      <c r="A5" s="6" t="s">
        <v>43</v>
      </c>
      <c r="B5" s="6" t="s">
        <v>44</v>
      </c>
      <c r="C5" s="6" t="s">
        <v>45</v>
      </c>
      <c r="D5" s="6" t="s">
        <v>46</v>
      </c>
    </row>
    <row r="6" customFormat="false" ht="35.05" hidden="false" customHeight="false" outlineLevel="0" collapsed="false">
      <c r="A6" s="6" t="s">
        <v>47</v>
      </c>
      <c r="B6" s="6" t="s">
        <v>48</v>
      </c>
      <c r="C6" s="6" t="s">
        <v>49</v>
      </c>
      <c r="D6" s="6" t="s">
        <v>50</v>
      </c>
    </row>
    <row r="7" customFormat="false" ht="15" hidden="false" customHeight="false" outlineLevel="0" collapsed="false">
      <c r="A7" s="6" t="s">
        <v>51</v>
      </c>
      <c r="B7" s="6" t="s">
        <v>52</v>
      </c>
      <c r="C7" s="6" t="s">
        <v>53</v>
      </c>
      <c r="D7" s="6" t="s">
        <v>54</v>
      </c>
    </row>
    <row r="8" customFormat="false" ht="46.25" hidden="false" customHeight="false" outlineLevel="0" collapsed="false">
      <c r="A8" s="6" t="s">
        <v>55</v>
      </c>
      <c r="B8" s="6" t="s">
        <v>56</v>
      </c>
      <c r="C8" s="6" t="s">
        <v>57</v>
      </c>
      <c r="D8" s="6" t="s">
        <v>58</v>
      </c>
    </row>
    <row r="9" customFormat="false" ht="23.85" hidden="false" customHeight="false" outlineLevel="0" collapsed="false">
      <c r="A9" s="6" t="s">
        <v>59</v>
      </c>
      <c r="B9" s="6" t="s">
        <v>60</v>
      </c>
      <c r="C9" s="6" t="s">
        <v>61</v>
      </c>
      <c r="D9" s="6" t="s">
        <v>62</v>
      </c>
    </row>
    <row r="10" customFormat="false" ht="23.85" hidden="false" customHeight="false" outlineLevel="0" collapsed="false">
      <c r="A10" s="6" t="s">
        <v>63</v>
      </c>
      <c r="B10" s="6" t="s">
        <v>64</v>
      </c>
      <c r="C10" s="6" t="s">
        <v>65</v>
      </c>
      <c r="D10" s="6" t="s">
        <v>66</v>
      </c>
    </row>
    <row r="11" customFormat="false" ht="23.85" hidden="false" customHeight="false" outlineLevel="0" collapsed="false">
      <c r="A11" s="6" t="s">
        <v>67</v>
      </c>
      <c r="B11" s="6" t="s">
        <v>68</v>
      </c>
      <c r="C11" s="6" t="s">
        <v>69</v>
      </c>
      <c r="D11" s="6" t="s">
        <v>70</v>
      </c>
    </row>
    <row r="12" customFormat="false" ht="23.85" hidden="false" customHeight="false" outlineLevel="0" collapsed="false">
      <c r="A12" s="6" t="s">
        <v>71</v>
      </c>
      <c r="B12" s="6" t="s">
        <v>72</v>
      </c>
      <c r="C12" s="6" t="s">
        <v>73</v>
      </c>
      <c r="D12" s="6" t="s">
        <v>74</v>
      </c>
    </row>
    <row r="13" customFormat="false" ht="23.85" hidden="false" customHeight="false" outlineLevel="0" collapsed="false">
      <c r="A13" s="6" t="s">
        <v>75</v>
      </c>
      <c r="B13" s="6" t="s">
        <v>76</v>
      </c>
      <c r="C13" s="6" t="s">
        <v>77</v>
      </c>
      <c r="D13" s="6" t="s">
        <v>78</v>
      </c>
    </row>
    <row r="14" customFormat="false" ht="15" hidden="false" customHeight="false" outlineLevel="0" collapsed="false">
      <c r="A14" s="6" t="s">
        <v>79</v>
      </c>
      <c r="B14" s="6" t="s">
        <v>56</v>
      </c>
      <c r="C14" s="6" t="s">
        <v>80</v>
      </c>
      <c r="D14" s="6" t="s">
        <v>81</v>
      </c>
    </row>
    <row r="15" customFormat="false" ht="23.85" hidden="false" customHeight="false" outlineLevel="0" collapsed="false">
      <c r="A15" s="6" t="s">
        <v>82</v>
      </c>
      <c r="B15" s="6" t="s">
        <v>83</v>
      </c>
      <c r="C15" s="6" t="s">
        <v>84</v>
      </c>
      <c r="D15" s="6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86</v>
      </c>
      <c r="B1" s="2"/>
      <c r="C1" s="2"/>
      <c r="D1" s="2"/>
    </row>
    <row r="2" customFormat="false" ht="15" hidden="false" customHeight="false" outlineLevel="0" collapsed="false">
      <c r="A2" s="3" t="s">
        <v>87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5" t="s">
        <v>88</v>
      </c>
      <c r="B4" s="5" t="s">
        <v>89</v>
      </c>
      <c r="C4" s="5" t="s">
        <v>90</v>
      </c>
      <c r="D4" s="5" t="s">
        <v>91</v>
      </c>
    </row>
    <row r="5" customFormat="false" ht="35.05" hidden="false" customHeight="false" outlineLevel="0" collapsed="false">
      <c r="A5" s="6" t="s">
        <v>92</v>
      </c>
      <c r="B5" s="6" t="s">
        <v>93</v>
      </c>
      <c r="C5" s="6" t="s">
        <v>94</v>
      </c>
      <c r="D5" s="6" t="s">
        <v>95</v>
      </c>
    </row>
    <row r="6" customFormat="false" ht="35.05" hidden="false" customHeight="false" outlineLevel="0" collapsed="false">
      <c r="A6" s="6" t="s">
        <v>96</v>
      </c>
      <c r="B6" s="6" t="s">
        <v>97</v>
      </c>
      <c r="C6" s="6" t="s">
        <v>98</v>
      </c>
      <c r="D6" s="6" t="s">
        <v>99</v>
      </c>
    </row>
    <row r="7" customFormat="false" ht="35.05" hidden="false" customHeight="false" outlineLevel="0" collapsed="false">
      <c r="A7" s="6" t="s">
        <v>100</v>
      </c>
      <c r="B7" s="6" t="s">
        <v>101</v>
      </c>
      <c r="C7" s="6" t="s">
        <v>102</v>
      </c>
      <c r="D7" s="6" t="s">
        <v>103</v>
      </c>
    </row>
    <row r="8" customFormat="false" ht="35.05" hidden="false" customHeight="false" outlineLevel="0" collapsed="false">
      <c r="A8" s="7" t="s">
        <v>104</v>
      </c>
      <c r="B8" s="7" t="s">
        <v>105</v>
      </c>
      <c r="C8" s="7" t="s">
        <v>106</v>
      </c>
      <c r="D8" s="7" t="s">
        <v>107</v>
      </c>
    </row>
    <row r="9" customFormat="false" ht="15" hidden="false" customHeight="false" outlineLevel="0" collapsed="false">
      <c r="A9" s="2"/>
      <c r="B9" s="2"/>
      <c r="C9" s="2"/>
      <c r="D9" s="2"/>
    </row>
    <row r="10" customFormat="false" ht="68.65" hidden="false" customHeight="false" outlineLevel="0" collapsed="false">
      <c r="A10" s="14" t="s">
        <v>108</v>
      </c>
      <c r="B10" s="2"/>
      <c r="C10" s="2"/>
      <c r="D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6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109</v>
      </c>
      <c r="B1" s="2"/>
      <c r="C1" s="2"/>
      <c r="D1" s="2"/>
    </row>
    <row r="2" customFormat="false" ht="15" hidden="false" customHeight="false" outlineLevel="0" collapsed="false">
      <c r="A2" s="3" t="s">
        <v>110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5" t="s">
        <v>111</v>
      </c>
      <c r="B4" s="5" t="s">
        <v>112</v>
      </c>
      <c r="C4" s="5" t="s">
        <v>113</v>
      </c>
      <c r="D4" s="5" t="s">
        <v>114</v>
      </c>
    </row>
    <row r="5" customFormat="false" ht="23.85" hidden="false" customHeight="false" outlineLevel="0" collapsed="false">
      <c r="A5" s="6" t="s">
        <v>115</v>
      </c>
      <c r="B5" s="6" t="s">
        <v>116</v>
      </c>
      <c r="C5" s="9" t="n">
        <v>12.87</v>
      </c>
      <c r="D5" s="9" t="n">
        <v>18.46</v>
      </c>
    </row>
    <row r="6" customFormat="false" ht="23.85" hidden="false" customHeight="false" outlineLevel="0" collapsed="false">
      <c r="A6" s="6" t="s">
        <v>117</v>
      </c>
      <c r="B6" s="6" t="s">
        <v>118</v>
      </c>
      <c r="C6" s="9" t="n">
        <v>13.25</v>
      </c>
      <c r="D6" s="9" t="n">
        <v>18.79</v>
      </c>
    </row>
    <row r="7" customFormat="false" ht="15" hidden="false" customHeight="false" outlineLevel="0" collapsed="false">
      <c r="A7" s="6" t="s">
        <v>119</v>
      </c>
      <c r="B7" s="6" t="s">
        <v>120</v>
      </c>
      <c r="C7" s="9" t="n">
        <v>12.78</v>
      </c>
      <c r="D7" s="9" t="n">
        <v>18.45</v>
      </c>
    </row>
    <row r="8" customFormat="false" ht="23.85" hidden="false" customHeight="false" outlineLevel="0" collapsed="false">
      <c r="A8" s="6" t="s">
        <v>121</v>
      </c>
      <c r="B8" s="6" t="s">
        <v>122</v>
      </c>
      <c r="C8" s="9" t="n">
        <v>13.43</v>
      </c>
      <c r="D8" s="9" t="n">
        <v>19.15</v>
      </c>
    </row>
    <row r="9" customFormat="false" ht="23.85" hidden="false" customHeight="false" outlineLevel="0" collapsed="false">
      <c r="A9" s="6" t="s">
        <v>123</v>
      </c>
      <c r="B9" s="6" t="s">
        <v>124</v>
      </c>
      <c r="C9" s="9" t="n">
        <v>13.92</v>
      </c>
      <c r="D9" s="9" t="n">
        <v>18.71</v>
      </c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57.45" hidden="false" customHeight="false" outlineLevel="0" collapsed="false">
      <c r="A11" s="14" t="s">
        <v>125</v>
      </c>
      <c r="B11" s="2"/>
      <c r="C11" s="2"/>
      <c r="D11" s="2"/>
    </row>
    <row r="12" customFormat="false" ht="68.65" hidden="false" customHeight="false" outlineLevel="0" collapsed="false">
      <c r="A12" s="15" t="s">
        <v>126</v>
      </c>
      <c r="B12" s="2"/>
      <c r="C12" s="2"/>
      <c r="D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127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5" t="s">
        <v>3</v>
      </c>
      <c r="B3" s="5" t="s">
        <v>7</v>
      </c>
      <c r="C3" s="5" t="s">
        <v>128</v>
      </c>
    </row>
    <row r="4" customFormat="false" ht="35.05" hidden="false" customHeight="false" outlineLevel="0" collapsed="false">
      <c r="A4" s="6" t="s">
        <v>129</v>
      </c>
      <c r="B4" s="6" t="s">
        <v>130</v>
      </c>
      <c r="C4" s="6" t="s">
        <v>131</v>
      </c>
    </row>
    <row r="5" customFormat="false" ht="23.85" hidden="false" customHeight="false" outlineLevel="0" collapsed="false">
      <c r="A5" s="6" t="s">
        <v>132</v>
      </c>
      <c r="B5" s="6" t="s">
        <v>133</v>
      </c>
      <c r="C5" s="6" t="s">
        <v>134</v>
      </c>
    </row>
    <row r="6" customFormat="false" ht="23.85" hidden="false" customHeight="false" outlineLevel="0" collapsed="false">
      <c r="A6" s="6" t="s">
        <v>135</v>
      </c>
      <c r="B6" s="6" t="s">
        <v>136</v>
      </c>
      <c r="C6" s="6" t="s">
        <v>137</v>
      </c>
    </row>
    <row r="7" customFormat="false" ht="23.85" hidden="false" customHeight="false" outlineLevel="0" collapsed="false">
      <c r="A7" s="6" t="s">
        <v>138</v>
      </c>
      <c r="B7" s="6" t="s">
        <v>139</v>
      </c>
      <c r="C7" s="6" t="s">
        <v>140</v>
      </c>
    </row>
    <row r="8" customFormat="false" ht="15" hidden="false" customHeight="false" outlineLevel="0" collapsed="false">
      <c r="A8" s="6" t="s">
        <v>141</v>
      </c>
      <c r="B8" s="6" t="s">
        <v>142</v>
      </c>
      <c r="C8" s="6" t="s">
        <v>143</v>
      </c>
    </row>
    <row r="9" customFormat="false" ht="15" hidden="false" customHeight="false" outlineLevel="0" collapsed="false">
      <c r="A9" s="6" t="s">
        <v>144</v>
      </c>
      <c r="B9" s="6" t="s">
        <v>145</v>
      </c>
      <c r="C9" s="6" t="s">
        <v>146</v>
      </c>
    </row>
    <row r="10" customFormat="false" ht="15" hidden="false" customHeight="false" outlineLevel="0" collapsed="false">
      <c r="A10" s="6" t="s">
        <v>147</v>
      </c>
      <c r="B10" s="6" t="s">
        <v>148</v>
      </c>
      <c r="C10" s="6" t="s">
        <v>149</v>
      </c>
    </row>
    <row r="11" customFormat="false" ht="23.85" hidden="false" customHeight="false" outlineLevel="0" collapsed="false">
      <c r="A11" s="6" t="s">
        <v>150</v>
      </c>
      <c r="B11" s="6" t="s">
        <v>151</v>
      </c>
      <c r="C11" s="6" t="s">
        <v>152</v>
      </c>
    </row>
    <row r="12" customFormat="false" ht="23.85" hidden="false" customHeight="false" outlineLevel="0" collapsed="false">
      <c r="A12" s="6" t="s">
        <v>153</v>
      </c>
      <c r="B12" s="6" t="s">
        <v>154</v>
      </c>
      <c r="C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17" min="3" style="0" width="12"/>
  </cols>
  <sheetData>
    <row r="1" customFormat="false" ht="17.35" hidden="false" customHeight="false" outlineLevel="0" collapsed="false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77.6" hidden="false" customHeight="false" outlineLevel="0" collapsed="false">
      <c r="A4" s="5" t="s">
        <v>88</v>
      </c>
      <c r="B4" s="5" t="s">
        <v>111</v>
      </c>
      <c r="C4" s="5" t="s">
        <v>157</v>
      </c>
      <c r="D4" s="5" t="s">
        <v>158</v>
      </c>
      <c r="E4" s="5" t="s">
        <v>159</v>
      </c>
      <c r="F4" s="5" t="s">
        <v>160</v>
      </c>
      <c r="G4" s="5" t="s">
        <v>161</v>
      </c>
      <c r="H4" s="5" t="s">
        <v>162</v>
      </c>
      <c r="I4" s="5" t="s">
        <v>163</v>
      </c>
      <c r="J4" s="5" t="s">
        <v>164</v>
      </c>
      <c r="K4" s="5" t="s">
        <v>165</v>
      </c>
      <c r="L4" s="5" t="s">
        <v>166</v>
      </c>
      <c r="M4" s="5" t="s">
        <v>167</v>
      </c>
      <c r="N4" s="5" t="s">
        <v>168</v>
      </c>
      <c r="O4" s="5" t="s">
        <v>169</v>
      </c>
      <c r="P4" s="5" t="s">
        <v>170</v>
      </c>
    </row>
    <row r="5" customFormat="false" ht="15" hidden="false" customHeight="false" outlineLevel="0" collapsed="false">
      <c r="A5" s="6" t="s">
        <v>92</v>
      </c>
      <c r="B5" s="6" t="s">
        <v>115</v>
      </c>
      <c r="C5" s="9" t="n">
        <v>9.41</v>
      </c>
      <c r="D5" s="9" t="n">
        <v>47.9</v>
      </c>
      <c r="E5" s="9" t="n">
        <v>64.79</v>
      </c>
      <c r="F5" s="9" t="n">
        <v>84.57</v>
      </c>
      <c r="G5" s="9" t="n">
        <v>71.84</v>
      </c>
      <c r="H5" s="9" t="n">
        <v>53.53</v>
      </c>
      <c r="I5" s="9" t="n">
        <v>61.35</v>
      </c>
      <c r="J5" s="9" t="n">
        <v>85.33</v>
      </c>
      <c r="K5" s="9" t="n">
        <v>30.24</v>
      </c>
      <c r="L5" s="9" t="n">
        <v>28.46</v>
      </c>
      <c r="M5" s="9" t="n">
        <v>11.57</v>
      </c>
      <c r="N5" s="9" t="n">
        <v>0</v>
      </c>
      <c r="O5" s="9" t="n">
        <v>42.53</v>
      </c>
      <c r="P5" s="9" t="n">
        <v>19.86</v>
      </c>
    </row>
    <row r="6" customFormat="false" ht="15" hidden="false" customHeight="false" outlineLevel="0" collapsed="false">
      <c r="A6" s="6" t="s">
        <v>171</v>
      </c>
      <c r="B6" s="6" t="s">
        <v>115</v>
      </c>
      <c r="C6" s="9" t="n">
        <v>12.41</v>
      </c>
      <c r="D6" s="9" t="n">
        <v>51.94</v>
      </c>
      <c r="E6" s="9" t="n">
        <v>66.47</v>
      </c>
      <c r="F6" s="9" t="n">
        <v>85.68</v>
      </c>
      <c r="G6" s="9" t="n">
        <v>74.76</v>
      </c>
      <c r="H6" s="9" t="n">
        <v>55.52</v>
      </c>
      <c r="I6" s="9" t="n">
        <v>63.72</v>
      </c>
      <c r="J6" s="9" t="n">
        <v>86.19</v>
      </c>
      <c r="K6" s="9" t="n">
        <v>33.01</v>
      </c>
      <c r="L6" s="9" t="n">
        <v>32.12</v>
      </c>
      <c r="M6" s="9" t="n">
        <v>15.75</v>
      </c>
      <c r="N6" s="9" t="n">
        <v>14.82</v>
      </c>
      <c r="O6" s="9" t="n">
        <v>45.87</v>
      </c>
      <c r="P6" s="9" t="n">
        <v>32.57</v>
      </c>
    </row>
    <row r="7" customFormat="false" ht="15" hidden="false" customHeight="false" outlineLevel="0" collapsed="false">
      <c r="A7" s="6" t="s">
        <v>9</v>
      </c>
      <c r="B7" s="6" t="s">
        <v>115</v>
      </c>
      <c r="C7" s="9" t="n">
        <v>12.87</v>
      </c>
      <c r="D7" s="9" t="n">
        <v>52.63</v>
      </c>
      <c r="E7" s="9" t="n">
        <v>67.07</v>
      </c>
      <c r="F7" s="9" t="n">
        <v>85.44</v>
      </c>
      <c r="G7" s="9" t="n">
        <v>72.39</v>
      </c>
      <c r="H7" s="9" t="n">
        <v>58.95</v>
      </c>
      <c r="I7" s="9" t="n">
        <v>64.98</v>
      </c>
      <c r="J7" s="9" t="n">
        <v>86.01</v>
      </c>
      <c r="K7" s="9" t="n">
        <v>33.41</v>
      </c>
      <c r="L7" s="9" t="n">
        <v>32.87</v>
      </c>
      <c r="M7" s="9" t="n">
        <v>15.38</v>
      </c>
      <c r="N7" s="9" t="n">
        <v>12.62</v>
      </c>
      <c r="O7" s="9" t="n">
        <v>47.12</v>
      </c>
      <c r="P7" s="9" t="n">
        <v>32.34</v>
      </c>
    </row>
    <row r="8" customFormat="false" ht="15" hidden="false" customHeight="false" outlineLevel="0" collapsed="false">
      <c r="A8" s="6" t="s">
        <v>9</v>
      </c>
      <c r="B8" s="6" t="s">
        <v>117</v>
      </c>
      <c r="C8" s="9" t="n">
        <v>13.25</v>
      </c>
      <c r="D8" s="9" t="n">
        <v>52.19</v>
      </c>
      <c r="E8" s="9" t="n">
        <v>67.47</v>
      </c>
      <c r="F8" s="9" t="n">
        <v>85.57</v>
      </c>
      <c r="G8" s="9" t="n">
        <v>73.72</v>
      </c>
      <c r="H8" s="9" t="n">
        <v>58.82</v>
      </c>
      <c r="I8" s="9" t="n">
        <v>65.43</v>
      </c>
      <c r="J8" s="9" t="n">
        <v>86.32</v>
      </c>
      <c r="K8" s="9" t="n">
        <v>33.95</v>
      </c>
      <c r="L8" s="9" t="n">
        <v>30.93</v>
      </c>
      <c r="M8" s="9" t="n">
        <v>17.63</v>
      </c>
      <c r="N8" s="9" t="n">
        <v>17.87</v>
      </c>
      <c r="O8" s="9" t="n">
        <v>47.35</v>
      </c>
      <c r="P8" s="9" t="n">
        <v>36.89</v>
      </c>
    </row>
    <row r="9" customFormat="false" ht="15" hidden="false" customHeight="false" outlineLevel="0" collapsed="false">
      <c r="A9" s="6" t="s">
        <v>9</v>
      </c>
      <c r="B9" s="6" t="s">
        <v>119</v>
      </c>
      <c r="C9" s="9" t="n">
        <v>12.78</v>
      </c>
      <c r="D9" s="9" t="n">
        <v>51.96</v>
      </c>
      <c r="E9" s="9" t="n">
        <v>66.92</v>
      </c>
      <c r="F9" s="9" t="n">
        <v>85.62</v>
      </c>
      <c r="G9" s="9" t="n">
        <v>74.27</v>
      </c>
      <c r="H9" s="9" t="n">
        <v>56.99</v>
      </c>
      <c r="I9" s="9" t="n">
        <v>64.49</v>
      </c>
      <c r="J9" s="9" t="n">
        <v>86.25</v>
      </c>
      <c r="K9" s="9" t="n">
        <v>33.16</v>
      </c>
      <c r="L9" s="9" t="n">
        <v>31.32</v>
      </c>
      <c r="M9" s="9" t="n">
        <v>18.22</v>
      </c>
      <c r="N9" s="9" t="n">
        <v>17.53</v>
      </c>
      <c r="O9" s="9" t="n">
        <v>46.54</v>
      </c>
      <c r="P9" s="9" t="n">
        <v>33.3</v>
      </c>
    </row>
    <row r="10" customFormat="false" ht="15" hidden="false" customHeight="false" outlineLevel="0" collapsed="false">
      <c r="A10" s="6" t="s">
        <v>9</v>
      </c>
      <c r="B10" s="6" t="s">
        <v>121</v>
      </c>
      <c r="C10" s="9" t="n">
        <v>13.43</v>
      </c>
      <c r="D10" s="9" t="n">
        <v>52.99</v>
      </c>
      <c r="E10" s="9" t="n">
        <v>67.72</v>
      </c>
      <c r="F10" s="9" t="n">
        <v>85.28</v>
      </c>
      <c r="G10" s="9" t="n">
        <v>71.17</v>
      </c>
      <c r="H10" s="9" t="n">
        <v>61.82</v>
      </c>
      <c r="I10" s="9" t="n">
        <v>66.17</v>
      </c>
      <c r="J10" s="9" t="n">
        <v>86</v>
      </c>
      <c r="K10" s="9" t="n">
        <v>34.15</v>
      </c>
      <c r="L10" s="9" t="n">
        <v>32.68</v>
      </c>
      <c r="M10" s="9" t="n">
        <v>15.59</v>
      </c>
      <c r="N10" s="9" t="n">
        <v>14.74</v>
      </c>
      <c r="O10" s="9" t="n">
        <v>48.09</v>
      </c>
      <c r="P10" s="9" t="n">
        <v>36.61</v>
      </c>
    </row>
    <row r="11" customFormat="false" ht="15" hidden="false" customHeight="false" outlineLevel="0" collapsed="false">
      <c r="A11" s="7" t="s">
        <v>9</v>
      </c>
      <c r="B11" s="7" t="s">
        <v>123</v>
      </c>
      <c r="C11" s="8" t="n">
        <v>13.92</v>
      </c>
      <c r="D11" s="8" t="n">
        <v>53.38</v>
      </c>
      <c r="E11" s="8" t="n">
        <v>67.6</v>
      </c>
      <c r="F11" s="8" t="n">
        <v>84.68</v>
      </c>
      <c r="G11" s="8" t="n">
        <v>67.78</v>
      </c>
      <c r="H11" s="8" t="n">
        <v>65.36</v>
      </c>
      <c r="I11" s="8" t="n">
        <v>66.54</v>
      </c>
      <c r="J11" s="8" t="n">
        <v>85.33</v>
      </c>
      <c r="K11" s="8" t="n">
        <v>35.61</v>
      </c>
      <c r="L11" s="8" t="n">
        <v>33.25</v>
      </c>
      <c r="M11" s="8" t="n">
        <v>19.16</v>
      </c>
      <c r="N11" s="8" t="n">
        <v>16.16</v>
      </c>
      <c r="O11" s="8" t="n">
        <v>47.22</v>
      </c>
      <c r="P11" s="8" t="n">
        <v>34.73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17" min="3" style="0" width="12"/>
  </cols>
  <sheetData>
    <row r="1" customFormat="false" ht="17.35" hidden="false" customHeight="false" outlineLevel="0" collapsed="false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77.6" hidden="false" customHeight="false" outlineLevel="0" collapsed="false">
      <c r="A4" s="5" t="s">
        <v>88</v>
      </c>
      <c r="B4" s="5" t="s">
        <v>111</v>
      </c>
      <c r="C4" s="5" t="s">
        <v>157</v>
      </c>
      <c r="D4" s="5" t="s">
        <v>158</v>
      </c>
      <c r="E4" s="5" t="s">
        <v>159</v>
      </c>
      <c r="F4" s="5" t="s">
        <v>160</v>
      </c>
      <c r="G4" s="5" t="s">
        <v>161</v>
      </c>
      <c r="H4" s="5" t="s">
        <v>162</v>
      </c>
      <c r="I4" s="5" t="s">
        <v>163</v>
      </c>
      <c r="J4" s="5" t="s">
        <v>164</v>
      </c>
      <c r="K4" s="5" t="s">
        <v>165</v>
      </c>
      <c r="L4" s="5" t="s">
        <v>166</v>
      </c>
      <c r="M4" s="5" t="s">
        <v>167</v>
      </c>
      <c r="N4" s="5" t="s">
        <v>168</v>
      </c>
      <c r="O4" s="5" t="s">
        <v>169</v>
      </c>
      <c r="P4" s="5" t="s">
        <v>170</v>
      </c>
    </row>
    <row r="5" customFormat="false" ht="15" hidden="false" customHeight="false" outlineLevel="0" collapsed="false">
      <c r="A5" s="6" t="s">
        <v>92</v>
      </c>
      <c r="B5" s="6" t="s">
        <v>115</v>
      </c>
      <c r="C5" s="9" t="n">
        <v>13.61</v>
      </c>
      <c r="D5" s="9" t="n">
        <v>53.15</v>
      </c>
      <c r="E5" s="9" t="n">
        <v>67.95</v>
      </c>
      <c r="F5" s="9" t="n">
        <v>85.72</v>
      </c>
      <c r="G5" s="9" t="n">
        <v>73.59</v>
      </c>
      <c r="H5" s="9" t="n">
        <v>60.14</v>
      </c>
      <c r="I5" s="9" t="n">
        <v>66.19</v>
      </c>
      <c r="J5" s="9" t="n">
        <v>86.44</v>
      </c>
      <c r="K5" s="9" t="n">
        <v>35.28</v>
      </c>
      <c r="L5" s="9" t="n">
        <v>32.61</v>
      </c>
      <c r="M5" s="9" t="n">
        <v>14.27</v>
      </c>
      <c r="N5" s="9" t="n">
        <v>5.34</v>
      </c>
      <c r="O5" s="9" t="n">
        <v>47.62</v>
      </c>
      <c r="P5" s="9" t="n">
        <v>34.52</v>
      </c>
    </row>
    <row r="6" customFormat="false" ht="15" hidden="false" customHeight="false" outlineLevel="0" collapsed="false">
      <c r="A6" s="6" t="s">
        <v>171</v>
      </c>
      <c r="B6" s="6" t="s">
        <v>115</v>
      </c>
      <c r="C6" s="9" t="n">
        <v>18.19</v>
      </c>
      <c r="D6" s="9" t="n">
        <v>58.05</v>
      </c>
      <c r="E6" s="9" t="n">
        <v>70.28</v>
      </c>
      <c r="F6" s="9" t="n">
        <v>87.24</v>
      </c>
      <c r="G6" s="9" t="n">
        <v>77.84</v>
      </c>
      <c r="H6" s="9" t="n">
        <v>62.23</v>
      </c>
      <c r="I6" s="9" t="n">
        <v>69.16</v>
      </c>
      <c r="J6" s="9" t="n">
        <v>87.7</v>
      </c>
      <c r="K6" s="9" t="n">
        <v>38.88</v>
      </c>
      <c r="L6" s="9" t="n">
        <v>35.58</v>
      </c>
      <c r="M6" s="9" t="n">
        <v>20.5</v>
      </c>
      <c r="N6" s="9" t="n">
        <v>25.53</v>
      </c>
      <c r="O6" s="9" t="n">
        <v>54.75</v>
      </c>
      <c r="P6" s="9" t="n">
        <v>46.16</v>
      </c>
    </row>
    <row r="7" customFormat="false" ht="15" hidden="false" customHeight="false" outlineLevel="0" collapsed="false">
      <c r="A7" s="6" t="s">
        <v>9</v>
      </c>
      <c r="B7" s="6" t="s">
        <v>115</v>
      </c>
      <c r="C7" s="9" t="n">
        <v>18.46</v>
      </c>
      <c r="D7" s="9" t="n">
        <v>58.28</v>
      </c>
      <c r="E7" s="9" t="n">
        <v>70.74</v>
      </c>
      <c r="F7" s="9" t="n">
        <v>87.13</v>
      </c>
      <c r="G7" s="9" t="n">
        <v>76.53</v>
      </c>
      <c r="H7" s="9" t="n">
        <v>64.44</v>
      </c>
      <c r="I7" s="9" t="n">
        <v>69.97</v>
      </c>
      <c r="J7" s="9" t="n">
        <v>87.68</v>
      </c>
      <c r="K7" s="9" t="n">
        <v>38.94</v>
      </c>
      <c r="L7" s="9" t="n">
        <v>35.58</v>
      </c>
      <c r="M7" s="9" t="n">
        <v>19.49</v>
      </c>
      <c r="N7" s="9" t="n">
        <v>24.76</v>
      </c>
      <c r="O7" s="9" t="n">
        <v>55.2</v>
      </c>
      <c r="P7" s="9" t="n">
        <v>48.02</v>
      </c>
    </row>
    <row r="8" customFormat="false" ht="15" hidden="false" customHeight="false" outlineLevel="0" collapsed="false">
      <c r="A8" s="6" t="s">
        <v>9</v>
      </c>
      <c r="B8" s="6" t="s">
        <v>117</v>
      </c>
      <c r="C8" s="9" t="n">
        <v>18.79</v>
      </c>
      <c r="D8" s="9" t="n">
        <v>57.89</v>
      </c>
      <c r="E8" s="9" t="n">
        <v>71.33</v>
      </c>
      <c r="F8" s="9" t="n">
        <v>87.17</v>
      </c>
      <c r="G8" s="9" t="n">
        <v>77.23</v>
      </c>
      <c r="H8" s="9" t="n">
        <v>65.25</v>
      </c>
      <c r="I8" s="9" t="n">
        <v>70.73</v>
      </c>
      <c r="J8" s="9" t="n">
        <v>87.95</v>
      </c>
      <c r="K8" s="9" t="n">
        <v>38.59</v>
      </c>
      <c r="L8" s="9" t="n">
        <v>34.99</v>
      </c>
      <c r="M8" s="9" t="n">
        <v>20.6</v>
      </c>
      <c r="N8" s="9" t="n">
        <v>26.08</v>
      </c>
      <c r="O8" s="9" t="n">
        <v>55.23</v>
      </c>
      <c r="P8" s="9" t="n">
        <v>47.64</v>
      </c>
    </row>
    <row r="9" customFormat="false" ht="15" hidden="false" customHeight="false" outlineLevel="0" collapsed="false">
      <c r="A9" s="6" t="s">
        <v>9</v>
      </c>
      <c r="B9" s="6" t="s">
        <v>119</v>
      </c>
      <c r="C9" s="9" t="n">
        <v>18.45</v>
      </c>
      <c r="D9" s="9" t="n">
        <v>58.19</v>
      </c>
      <c r="E9" s="9" t="n">
        <v>70.73</v>
      </c>
      <c r="F9" s="9" t="n">
        <v>87.26</v>
      </c>
      <c r="G9" s="9" t="n">
        <v>77.65</v>
      </c>
      <c r="H9" s="9" t="n">
        <v>63.44</v>
      </c>
      <c r="I9" s="9" t="n">
        <v>69.83</v>
      </c>
      <c r="J9" s="9" t="n">
        <v>87.82</v>
      </c>
      <c r="K9" s="9" t="n">
        <v>39.14</v>
      </c>
      <c r="L9" s="9" t="n">
        <v>34.88</v>
      </c>
      <c r="M9" s="9" t="n">
        <v>19.72</v>
      </c>
      <c r="N9" s="9" t="n">
        <v>27.54</v>
      </c>
      <c r="O9" s="9" t="n">
        <v>55.29</v>
      </c>
      <c r="P9" s="9" t="n">
        <v>49.42</v>
      </c>
    </row>
    <row r="10" customFormat="false" ht="15" hidden="false" customHeight="false" outlineLevel="0" collapsed="false">
      <c r="A10" s="6" t="s">
        <v>9</v>
      </c>
      <c r="B10" s="6" t="s">
        <v>121</v>
      </c>
      <c r="C10" s="9" t="n">
        <v>19.15</v>
      </c>
      <c r="D10" s="9" t="n">
        <v>58.76</v>
      </c>
      <c r="E10" s="9" t="n">
        <v>71.37</v>
      </c>
      <c r="F10" s="9" t="n">
        <v>86.79</v>
      </c>
      <c r="G10" s="9" t="n">
        <v>73.61</v>
      </c>
      <c r="H10" s="9" t="n">
        <v>68.97</v>
      </c>
      <c r="I10" s="9" t="n">
        <v>71.21</v>
      </c>
      <c r="J10" s="9" t="n">
        <v>87.45</v>
      </c>
      <c r="K10" s="9" t="n">
        <v>39.62</v>
      </c>
      <c r="L10" s="9" t="n">
        <v>35.77</v>
      </c>
      <c r="M10" s="9" t="n">
        <v>21.64</v>
      </c>
      <c r="N10" s="9" t="n">
        <v>26.14</v>
      </c>
      <c r="O10" s="9" t="n">
        <v>55.68</v>
      </c>
      <c r="P10" s="9" t="n">
        <v>50.75</v>
      </c>
    </row>
    <row r="11" customFormat="false" ht="15" hidden="false" customHeight="false" outlineLevel="0" collapsed="false">
      <c r="A11" s="6" t="s">
        <v>9</v>
      </c>
      <c r="B11" s="6" t="s">
        <v>123</v>
      </c>
      <c r="C11" s="9" t="n">
        <v>18.71</v>
      </c>
      <c r="D11" s="9" t="n">
        <v>58.16</v>
      </c>
      <c r="E11" s="9" t="n">
        <v>71.05</v>
      </c>
      <c r="F11" s="9" t="n">
        <v>86.79</v>
      </c>
      <c r="G11" s="9" t="n">
        <v>74.33</v>
      </c>
      <c r="H11" s="9" t="n">
        <v>67.34</v>
      </c>
      <c r="I11" s="9" t="n">
        <v>70.66</v>
      </c>
      <c r="J11" s="9" t="n">
        <v>87.46</v>
      </c>
      <c r="K11" s="9" t="n">
        <v>39.54</v>
      </c>
      <c r="L11" s="9" t="n">
        <v>34.93</v>
      </c>
      <c r="M11" s="9" t="n">
        <v>21.28</v>
      </c>
      <c r="N11" s="9" t="n">
        <v>27.98</v>
      </c>
      <c r="O11" s="9" t="n">
        <v>55.25</v>
      </c>
      <c r="P11" s="9" t="n">
        <v>43.31</v>
      </c>
    </row>
    <row r="12" customFormat="false" ht="15" hidden="false" customHeight="false" outlineLevel="0" collapsed="false">
      <c r="A12" s="6" t="s">
        <v>104</v>
      </c>
      <c r="B12" s="6" t="s">
        <v>121</v>
      </c>
      <c r="C12" s="9" t="n">
        <v>20.38</v>
      </c>
      <c r="D12" s="9" t="n">
        <v>59.62</v>
      </c>
      <c r="E12" s="9" t="n">
        <v>72.25</v>
      </c>
      <c r="F12" s="9" t="n">
        <v>86.81</v>
      </c>
      <c r="G12" s="9" t="n">
        <v>72.68</v>
      </c>
      <c r="H12" s="9" t="n">
        <v>72.41</v>
      </c>
      <c r="I12" s="9" t="n">
        <v>72.55</v>
      </c>
      <c r="J12" s="9" t="n">
        <v>87.57</v>
      </c>
      <c r="K12" s="9" t="n">
        <v>40.87</v>
      </c>
      <c r="L12" s="9" t="n">
        <v>36.7</v>
      </c>
      <c r="M12" s="9" t="n">
        <v>21.47</v>
      </c>
      <c r="N12" s="9" t="n">
        <v>24.83</v>
      </c>
      <c r="O12" s="9" t="n">
        <v>55.73</v>
      </c>
      <c r="P12" s="9" t="n">
        <v>54.54</v>
      </c>
    </row>
    <row r="13" customFormat="false" ht="23.85" hidden="false" customHeight="false" outlineLevel="0" collapsed="false">
      <c r="A13" s="7" t="s">
        <v>104</v>
      </c>
      <c r="B13" s="7" t="s">
        <v>174</v>
      </c>
      <c r="C13" s="8" t="n">
        <v>21</v>
      </c>
      <c r="D13" s="8" t="n">
        <v>60.22</v>
      </c>
      <c r="E13" s="8" t="n">
        <v>72.62</v>
      </c>
      <c r="F13" s="8" t="n">
        <v>87.08</v>
      </c>
      <c r="G13" s="8" t="n">
        <v>73.52</v>
      </c>
      <c r="H13" s="8" t="n">
        <v>72.4</v>
      </c>
      <c r="I13" s="8" t="n">
        <v>72.95</v>
      </c>
      <c r="J13" s="8" t="n">
        <v>87.82</v>
      </c>
      <c r="K13" s="8" t="n">
        <v>41.29</v>
      </c>
      <c r="L13" s="8" t="n">
        <v>37.2</v>
      </c>
      <c r="M13" s="8" t="n">
        <v>21.84</v>
      </c>
      <c r="N13" s="8" t="n">
        <v>26.75</v>
      </c>
      <c r="O13" s="8" t="n">
        <v>56.69</v>
      </c>
      <c r="P13" s="8" t="n">
        <v>55.63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10" min="3" style="0" width="11"/>
    <col collapsed="false" customWidth="true" hidden="false" outlineLevel="0" max="12" min="11" style="0" width="13"/>
  </cols>
  <sheetData>
    <row r="1" customFormat="false" ht="17.35" hidden="false" customHeight="false" outlineLevel="0" collapsed="false">
      <c r="A1" s="1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6" t="s">
        <v>88</v>
      </c>
      <c r="B4" s="16" t="s">
        <v>111</v>
      </c>
      <c r="C4" s="16" t="s">
        <v>177</v>
      </c>
      <c r="D4" s="16" t="s">
        <v>178</v>
      </c>
      <c r="E4" s="16" t="s">
        <v>179</v>
      </c>
      <c r="F4" s="16" t="s">
        <v>180</v>
      </c>
      <c r="G4" s="16" t="s">
        <v>181</v>
      </c>
      <c r="H4" s="16" t="s">
        <v>182</v>
      </c>
      <c r="I4" s="16" t="s">
        <v>183</v>
      </c>
      <c r="J4" s="16" t="s">
        <v>184</v>
      </c>
      <c r="K4" s="16" t="s">
        <v>185</v>
      </c>
      <c r="L4" s="16" t="s">
        <v>186</v>
      </c>
    </row>
    <row r="5" customFormat="false" ht="15" hidden="false" customHeight="false" outlineLevel="0" collapsed="false">
      <c r="A5" s="17" t="s">
        <v>92</v>
      </c>
      <c r="B5" s="17" t="s">
        <v>115</v>
      </c>
      <c r="C5" s="18" t="n">
        <v>9.41</v>
      </c>
      <c r="D5" s="18" t="n">
        <v>13.61</v>
      </c>
      <c r="E5" s="18" t="n">
        <v>47.9</v>
      </c>
      <c r="F5" s="18" t="n">
        <v>53.15</v>
      </c>
      <c r="G5" s="18" t="n">
        <v>64.79</v>
      </c>
      <c r="H5" s="18" t="n">
        <v>67.95</v>
      </c>
      <c r="I5" s="18" t="n">
        <v>84.57</v>
      </c>
      <c r="J5" s="18" t="n">
        <v>85.72</v>
      </c>
      <c r="K5" s="19" t="n">
        <f aca="false">D5-C5</f>
        <v>4.2</v>
      </c>
      <c r="L5" s="19" t="n">
        <f aca="false">H5-G5</f>
        <v>3.16</v>
      </c>
    </row>
    <row r="6" customFormat="false" ht="15" hidden="false" customHeight="false" outlineLevel="0" collapsed="false">
      <c r="A6" s="17" t="s">
        <v>171</v>
      </c>
      <c r="B6" s="17" t="s">
        <v>115</v>
      </c>
      <c r="C6" s="18" t="n">
        <v>12.41</v>
      </c>
      <c r="D6" s="18" t="n">
        <v>18.19</v>
      </c>
      <c r="E6" s="18" t="n">
        <v>51.94</v>
      </c>
      <c r="F6" s="18" t="n">
        <v>58.05</v>
      </c>
      <c r="G6" s="18" t="n">
        <v>66.47</v>
      </c>
      <c r="H6" s="18" t="n">
        <v>70.28</v>
      </c>
      <c r="I6" s="18" t="n">
        <v>85.68</v>
      </c>
      <c r="J6" s="18" t="n">
        <v>87.24</v>
      </c>
      <c r="K6" s="19" t="n">
        <f aca="false">D6-C6</f>
        <v>5.78</v>
      </c>
      <c r="L6" s="19" t="n">
        <f aca="false">H6-G6</f>
        <v>3.81</v>
      </c>
    </row>
    <row r="7" customFormat="false" ht="15" hidden="false" customHeight="false" outlineLevel="0" collapsed="false">
      <c r="A7" s="17" t="s">
        <v>9</v>
      </c>
      <c r="B7" s="17" t="s">
        <v>115</v>
      </c>
      <c r="C7" s="18" t="n">
        <v>12.87</v>
      </c>
      <c r="D7" s="18" t="n">
        <v>18.46</v>
      </c>
      <c r="E7" s="18" t="n">
        <v>52.63</v>
      </c>
      <c r="F7" s="18" t="n">
        <v>58.28</v>
      </c>
      <c r="G7" s="18" t="n">
        <v>67.07</v>
      </c>
      <c r="H7" s="18" t="n">
        <v>70.74</v>
      </c>
      <c r="I7" s="18" t="n">
        <v>85.44</v>
      </c>
      <c r="J7" s="18" t="n">
        <v>87.13</v>
      </c>
      <c r="K7" s="19" t="n">
        <f aca="false">D7-C7</f>
        <v>5.59</v>
      </c>
      <c r="L7" s="19" t="n">
        <f aca="false">H7-G7</f>
        <v>3.67</v>
      </c>
    </row>
    <row r="8" customFormat="false" ht="15" hidden="false" customHeight="false" outlineLevel="0" collapsed="false">
      <c r="A8" s="17" t="s">
        <v>9</v>
      </c>
      <c r="B8" s="17" t="s">
        <v>117</v>
      </c>
      <c r="C8" s="18" t="n">
        <v>13.25</v>
      </c>
      <c r="D8" s="18" t="n">
        <v>18.79</v>
      </c>
      <c r="E8" s="18" t="n">
        <v>52.19</v>
      </c>
      <c r="F8" s="18" t="n">
        <v>57.89</v>
      </c>
      <c r="G8" s="18" t="n">
        <v>67.47</v>
      </c>
      <c r="H8" s="18" t="n">
        <v>71.33</v>
      </c>
      <c r="I8" s="18" t="n">
        <v>85.57</v>
      </c>
      <c r="J8" s="18" t="n">
        <v>87.17</v>
      </c>
      <c r="K8" s="19" t="n">
        <f aca="false">D8-C8</f>
        <v>5.54</v>
      </c>
      <c r="L8" s="19" t="n">
        <f aca="false">H8-G8</f>
        <v>3.86</v>
      </c>
    </row>
    <row r="9" customFormat="false" ht="15" hidden="false" customHeight="false" outlineLevel="0" collapsed="false">
      <c r="A9" s="17" t="s">
        <v>9</v>
      </c>
      <c r="B9" s="17" t="s">
        <v>119</v>
      </c>
      <c r="C9" s="18" t="n">
        <v>12.78</v>
      </c>
      <c r="D9" s="18" t="n">
        <v>18.45</v>
      </c>
      <c r="E9" s="18" t="n">
        <v>51.96</v>
      </c>
      <c r="F9" s="18" t="n">
        <v>58.19</v>
      </c>
      <c r="G9" s="18" t="n">
        <v>66.92</v>
      </c>
      <c r="H9" s="18" t="n">
        <v>70.73</v>
      </c>
      <c r="I9" s="18" t="n">
        <v>85.62</v>
      </c>
      <c r="J9" s="18" t="n">
        <v>87.26</v>
      </c>
      <c r="K9" s="19" t="n">
        <f aca="false">D9-C9</f>
        <v>5.67</v>
      </c>
      <c r="L9" s="19" t="n">
        <f aca="false">H9-G9</f>
        <v>3.81</v>
      </c>
    </row>
    <row r="10" customFormat="false" ht="15" hidden="false" customHeight="false" outlineLevel="0" collapsed="false">
      <c r="A10" s="17" t="s">
        <v>9</v>
      </c>
      <c r="B10" s="17" t="s">
        <v>121</v>
      </c>
      <c r="C10" s="18" t="n">
        <v>13.43</v>
      </c>
      <c r="D10" s="18" t="n">
        <v>19.15</v>
      </c>
      <c r="E10" s="18" t="n">
        <v>52.99</v>
      </c>
      <c r="F10" s="18" t="n">
        <v>58.76</v>
      </c>
      <c r="G10" s="18" t="n">
        <v>67.72</v>
      </c>
      <c r="H10" s="18" t="n">
        <v>71.37</v>
      </c>
      <c r="I10" s="18" t="n">
        <v>85.28</v>
      </c>
      <c r="J10" s="18" t="n">
        <v>86.79</v>
      </c>
      <c r="K10" s="19" t="n">
        <f aca="false">D10-C10</f>
        <v>5.72</v>
      </c>
      <c r="L10" s="19" t="n">
        <f aca="false">H10-G10</f>
        <v>3.65000000000001</v>
      </c>
    </row>
    <row r="11" customFormat="false" ht="15" hidden="false" customHeight="false" outlineLevel="0" collapsed="false">
      <c r="A11" s="17" t="s">
        <v>9</v>
      </c>
      <c r="B11" s="17" t="s">
        <v>123</v>
      </c>
      <c r="C11" s="18" t="n">
        <v>13.92</v>
      </c>
      <c r="D11" s="18" t="n">
        <v>18.71</v>
      </c>
      <c r="E11" s="18" t="n">
        <v>53.38</v>
      </c>
      <c r="F11" s="18" t="n">
        <v>58.16</v>
      </c>
      <c r="G11" s="18" t="n">
        <v>67.6</v>
      </c>
      <c r="H11" s="18" t="n">
        <v>71.05</v>
      </c>
      <c r="I11" s="18" t="n">
        <v>84.68</v>
      </c>
      <c r="J11" s="18" t="n">
        <v>86.79</v>
      </c>
      <c r="K11" s="19" t="n">
        <f aca="false">D11-C11</f>
        <v>4.79</v>
      </c>
      <c r="L11" s="19" t="n">
        <f aca="false">H11-G11</f>
        <v>3.45</v>
      </c>
    </row>
    <row r="12" customFormat="false" ht="15" hidden="false" customHeight="false" outlineLevel="0" collapsed="false">
      <c r="A12" s="2"/>
      <c r="B12" s="10" t="s">
        <v>187</v>
      </c>
      <c r="C12" s="2"/>
      <c r="D12" s="2"/>
      <c r="E12" s="2"/>
      <c r="F12" s="2"/>
      <c r="G12" s="2"/>
      <c r="H12" s="2"/>
      <c r="I12" s="2"/>
      <c r="J12" s="2"/>
      <c r="K12" s="20" t="n">
        <f aca="false">AVERAGE(K5:K11)</f>
        <v>5.32714285714286</v>
      </c>
      <c r="L12" s="20" t="n">
        <f aca="false">AVERAGE(L5:L11)</f>
        <v>3.63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2"/>
      <c r="B14" s="10" t="s">
        <v>188</v>
      </c>
      <c r="C14" s="2"/>
      <c r="D14" s="21" t="n">
        <f aca="false">MAX(C5:C11)</f>
        <v>13.92</v>
      </c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/>
      <c r="B15" s="10" t="s">
        <v>189</v>
      </c>
      <c r="C15" s="2"/>
      <c r="D15" s="21" t="n">
        <v>21</v>
      </c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2"/>
      <c r="B16" s="10" t="s">
        <v>190</v>
      </c>
      <c r="C16" s="2"/>
      <c r="D16" s="22" t="n">
        <f aca="false">D15-D14</f>
        <v>7.08</v>
      </c>
      <c r="E16" s="2"/>
      <c r="F16" s="2"/>
      <c r="G16" s="2"/>
      <c r="H16" s="2"/>
      <c r="I16" s="2"/>
      <c r="J16" s="2"/>
      <c r="K16" s="2"/>
      <c r="L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6" min="3" style="0" width="15"/>
    <col collapsed="false" customWidth="true" hidden="false" outlineLevel="0" max="11" min="7" style="0" width="12"/>
  </cols>
  <sheetData>
    <row r="1" customFormat="false" ht="17.35" hidden="false" customHeight="false" outlineLevel="0" collapsed="false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192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4" t="s">
        <v>193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26.85" hidden="false" customHeight="false" outlineLevel="0" collapsed="false">
      <c r="A5" s="16" t="s">
        <v>88</v>
      </c>
      <c r="B5" s="16" t="s">
        <v>111</v>
      </c>
      <c r="C5" s="16" t="s">
        <v>194</v>
      </c>
      <c r="D5" s="16" t="s">
        <v>195</v>
      </c>
      <c r="E5" s="16" t="s">
        <v>196</v>
      </c>
      <c r="F5" s="16" t="s">
        <v>197</v>
      </c>
      <c r="G5" s="16" t="s">
        <v>144</v>
      </c>
      <c r="H5" s="16" t="s">
        <v>198</v>
      </c>
      <c r="I5" s="16" t="s">
        <v>199</v>
      </c>
      <c r="J5" s="16" t="s">
        <v>200</v>
      </c>
      <c r="K5" s="16" t="s">
        <v>141</v>
      </c>
    </row>
    <row r="6" customFormat="false" ht="15" hidden="false" customHeight="false" outlineLevel="0" collapsed="false">
      <c r="A6" s="17" t="s">
        <v>201</v>
      </c>
      <c r="B6" s="17" t="s">
        <v>115</v>
      </c>
      <c r="C6" s="23" t="n">
        <v>8120542</v>
      </c>
      <c r="D6" s="23" t="n">
        <v>3183384</v>
      </c>
      <c r="E6" s="23" t="n">
        <v>7049054</v>
      </c>
      <c r="F6" s="23" t="n">
        <v>59503788</v>
      </c>
      <c r="G6" s="24" t="n">
        <f aca="false">C6/(C6+E6)</f>
        <v>0.535316959001413</v>
      </c>
      <c r="H6" s="24" t="n">
        <f aca="false">D6/(D6+F6)</f>
        <v>0.0507820643113395</v>
      </c>
      <c r="I6" s="24" t="n">
        <f aca="false">E6/(C6+E6)</f>
        <v>0.464683040998587</v>
      </c>
      <c r="J6" s="24" t="n">
        <f aca="false">F6/(F6+D6)</f>
        <v>0.949217935688661</v>
      </c>
      <c r="K6" s="24" t="n">
        <f aca="false">C6/(C6+D6)</f>
        <v>0.718382445178781</v>
      </c>
    </row>
    <row r="7" customFormat="false" ht="15" hidden="false" customHeight="false" outlineLevel="0" collapsed="false">
      <c r="A7" s="17" t="s">
        <v>171</v>
      </c>
      <c r="B7" s="17" t="s">
        <v>115</v>
      </c>
      <c r="C7" s="23" t="n">
        <v>8422616</v>
      </c>
      <c r="D7" s="23" t="n">
        <v>2842914</v>
      </c>
      <c r="E7" s="23" t="n">
        <v>6746980</v>
      </c>
      <c r="F7" s="23" t="n">
        <v>59844258</v>
      </c>
      <c r="G7" s="24" t="n">
        <f aca="false">C7/(C7+E7)</f>
        <v>0.555230079957304</v>
      </c>
      <c r="H7" s="24" t="n">
        <f aca="false">D7/(D7+F7)</f>
        <v>0.0453508095723316</v>
      </c>
      <c r="I7" s="24" t="n">
        <f aca="false">E7/(C7+E7)</f>
        <v>0.444769920042696</v>
      </c>
      <c r="J7" s="24" t="n">
        <f aca="false">F7/(F7+D7)</f>
        <v>0.954649190427668</v>
      </c>
      <c r="K7" s="24" t="n">
        <f aca="false">C7/(C7+D7)</f>
        <v>0.747644895535319</v>
      </c>
    </row>
    <row r="8" customFormat="false" ht="15" hidden="false" customHeight="false" outlineLevel="0" collapsed="false">
      <c r="A8" s="17" t="s">
        <v>9</v>
      </c>
      <c r="B8" s="17" t="s">
        <v>115</v>
      </c>
      <c r="C8" s="23" t="n">
        <v>8942384</v>
      </c>
      <c r="D8" s="23" t="n">
        <v>3410490</v>
      </c>
      <c r="E8" s="23" t="n">
        <v>6227212</v>
      </c>
      <c r="F8" s="23" t="n">
        <v>59276682</v>
      </c>
      <c r="G8" s="24" t="n">
        <f aca="false">C8/(C8+E8)</f>
        <v>0.589493879731537</v>
      </c>
      <c r="H8" s="24" t="n">
        <f aca="false">D8/(D8+F8)</f>
        <v>0.0544049107846179</v>
      </c>
      <c r="I8" s="24" t="n">
        <f aca="false">E8/(C8+E8)</f>
        <v>0.410506120268463</v>
      </c>
      <c r="J8" s="24" t="n">
        <f aca="false">F8/(F8+D8)</f>
        <v>0.945595089215382</v>
      </c>
      <c r="K8" s="24" t="n">
        <f aca="false">C8/(C8+D8)</f>
        <v>0.723911212888596</v>
      </c>
    </row>
    <row r="9" customFormat="false" ht="15" hidden="false" customHeight="false" outlineLevel="0" collapsed="false">
      <c r="A9" s="17" t="s">
        <v>9</v>
      </c>
      <c r="B9" s="17" t="s">
        <v>117</v>
      </c>
      <c r="C9" s="23" t="n">
        <v>8922956</v>
      </c>
      <c r="D9" s="23" t="n">
        <v>3181696</v>
      </c>
      <c r="E9" s="23" t="n">
        <v>6246640</v>
      </c>
      <c r="F9" s="23" t="n">
        <v>59505476</v>
      </c>
      <c r="G9" s="24" t="n">
        <f aca="false">C9/(C9+E9)</f>
        <v>0.588213160060426</v>
      </c>
      <c r="H9" s="24" t="n">
        <f aca="false">D9/(D9+F9)</f>
        <v>0.0507551369521024</v>
      </c>
      <c r="I9" s="24" t="n">
        <f aca="false">E9/(C9+E9)</f>
        <v>0.411786839939574</v>
      </c>
      <c r="J9" s="24" t="n">
        <f aca="false">F9/(F9+D9)</f>
        <v>0.949244863047898</v>
      </c>
      <c r="K9" s="24" t="n">
        <f aca="false">C9/(C9+D9)</f>
        <v>0.737150973030865</v>
      </c>
    </row>
    <row r="10" customFormat="false" ht="15" hidden="false" customHeight="false" outlineLevel="0" collapsed="false">
      <c r="A10" s="17" t="s">
        <v>9</v>
      </c>
      <c r="B10" s="17" t="s">
        <v>119</v>
      </c>
      <c r="C10" s="23" t="n">
        <v>8644560</v>
      </c>
      <c r="D10" s="23" t="n">
        <v>2994666</v>
      </c>
      <c r="E10" s="23" t="n">
        <v>6525036</v>
      </c>
      <c r="F10" s="23" t="n">
        <v>59692506</v>
      </c>
      <c r="G10" s="24" t="n">
        <f aca="false">C10/(C10+E10)</f>
        <v>0.569860924443868</v>
      </c>
      <c r="H10" s="24" t="n">
        <f aca="false">D10/(D10+F10)</f>
        <v>0.0477715919295259</v>
      </c>
      <c r="I10" s="24" t="n">
        <f aca="false">E10/(C10+E10)</f>
        <v>0.430139075556132</v>
      </c>
      <c r="J10" s="24" t="n">
        <f aca="false">F10/(F10+D10)</f>
        <v>0.952228408070474</v>
      </c>
      <c r="K10" s="24" t="n">
        <f aca="false">C10/(C10+D10)</f>
        <v>0.742709180146515</v>
      </c>
    </row>
    <row r="11" customFormat="false" ht="15" hidden="false" customHeight="false" outlineLevel="0" collapsed="false">
      <c r="A11" s="17" t="s">
        <v>9</v>
      </c>
      <c r="B11" s="17" t="s">
        <v>121</v>
      </c>
      <c r="C11" s="23" t="n">
        <v>9377790</v>
      </c>
      <c r="D11" s="23" t="n">
        <v>3798284</v>
      </c>
      <c r="E11" s="23" t="n">
        <v>5791806</v>
      </c>
      <c r="F11" s="23" t="n">
        <v>58888888</v>
      </c>
      <c r="G11" s="24" t="n">
        <f aca="false">C11/(C11+E11)</f>
        <v>0.618196423952227</v>
      </c>
      <c r="H11" s="24" t="n">
        <f aca="false">D11/(D11+F11)</f>
        <v>0.0605910887158859</v>
      </c>
      <c r="I11" s="24" t="n">
        <f aca="false">E11/(C11+E11)</f>
        <v>0.381803576047773</v>
      </c>
      <c r="J11" s="24" t="n">
        <f aca="false">F11/(F11+D11)</f>
        <v>0.939408911284114</v>
      </c>
      <c r="K11" s="24" t="n">
        <f aca="false">C11/(C11+D11)</f>
        <v>0.711728698548596</v>
      </c>
    </row>
    <row r="12" customFormat="false" ht="15" hidden="false" customHeight="false" outlineLevel="0" collapsed="false">
      <c r="A12" s="17" t="s">
        <v>9</v>
      </c>
      <c r="B12" s="17" t="s">
        <v>123</v>
      </c>
      <c r="C12" s="23" t="n">
        <v>9914580</v>
      </c>
      <c r="D12" s="23" t="n">
        <v>4714060</v>
      </c>
      <c r="E12" s="23" t="n">
        <v>5255016</v>
      </c>
      <c r="F12" s="23" t="n">
        <v>57973112</v>
      </c>
      <c r="G12" s="24" t="n">
        <f aca="false">C12/(C12+E12)</f>
        <v>0.653582336668689</v>
      </c>
      <c r="H12" s="24" t="n">
        <f aca="false">D12/(D12+F12)</f>
        <v>0.0751997553821697</v>
      </c>
      <c r="I12" s="24" t="n">
        <f aca="false">E12/(C12+E12)</f>
        <v>0.346417663331311</v>
      </c>
      <c r="J12" s="24" t="n">
        <f aca="false">F12/(F12+D12)</f>
        <v>0.92480024461783</v>
      </c>
      <c r="K12" s="24" t="n">
        <f aca="false">C12/(C12+D12)</f>
        <v>0.67775131522821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4" t="s">
        <v>202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26.85" hidden="false" customHeight="false" outlineLevel="0" collapsed="false">
      <c r="A16" s="16" t="s">
        <v>88</v>
      </c>
      <c r="B16" s="16" t="s">
        <v>111</v>
      </c>
      <c r="C16" s="16" t="s">
        <v>194</v>
      </c>
      <c r="D16" s="16" t="s">
        <v>195</v>
      </c>
      <c r="E16" s="16" t="s">
        <v>196</v>
      </c>
      <c r="F16" s="16" t="s">
        <v>197</v>
      </c>
      <c r="G16" s="16" t="s">
        <v>144</v>
      </c>
      <c r="H16" s="16" t="s">
        <v>198</v>
      </c>
      <c r="I16" s="16" t="s">
        <v>199</v>
      </c>
      <c r="J16" s="16" t="s">
        <v>200</v>
      </c>
      <c r="K16" s="16" t="s">
        <v>141</v>
      </c>
    </row>
    <row r="17" customFormat="false" ht="15" hidden="false" customHeight="false" outlineLevel="0" collapsed="false">
      <c r="A17" s="17" t="s">
        <v>92</v>
      </c>
      <c r="B17" s="17" t="s">
        <v>115</v>
      </c>
      <c r="C17" s="23" t="n">
        <v>36486870</v>
      </c>
      <c r="D17" s="23" t="n">
        <v>13096184</v>
      </c>
      <c r="E17" s="23" t="n">
        <v>24182444</v>
      </c>
      <c r="F17" s="23" t="n">
        <v>237661574</v>
      </c>
      <c r="G17" s="24" t="n">
        <f aca="false">C17/(C17+E17)</f>
        <v>0.601405679319202</v>
      </c>
      <c r="H17" s="24" t="n">
        <f aca="false">D17/(D17+F17)</f>
        <v>0.0522264360012343</v>
      </c>
      <c r="I17" s="24" t="n">
        <f aca="false">E17/(C17+E17)</f>
        <v>0.398594320680798</v>
      </c>
      <c r="J17" s="24" t="n">
        <f aca="false">F17/(F17+D17)</f>
        <v>0.947773563998766</v>
      </c>
      <c r="K17" s="24" t="n">
        <f aca="false">C17/(C17+D17)</f>
        <v>0.735873792687316</v>
      </c>
    </row>
    <row r="18" customFormat="false" ht="15" hidden="false" customHeight="false" outlineLevel="0" collapsed="false">
      <c r="A18" s="17" t="s">
        <v>171</v>
      </c>
      <c r="B18" s="17" t="s">
        <v>115</v>
      </c>
      <c r="C18" s="23" t="n">
        <v>37752424</v>
      </c>
      <c r="D18" s="23" t="n">
        <v>10748544</v>
      </c>
      <c r="E18" s="23" t="n">
        <v>22916890</v>
      </c>
      <c r="F18" s="23" t="n">
        <v>240009214</v>
      </c>
      <c r="G18" s="24" t="n">
        <f aca="false">C18/(C18+E18)</f>
        <v>0.622265549269273</v>
      </c>
      <c r="H18" s="24" t="n">
        <f aca="false">D18/(D18+F18)</f>
        <v>0.0428642530772667</v>
      </c>
      <c r="I18" s="24" t="n">
        <f aca="false">E18/(C18+E18)</f>
        <v>0.377734450730727</v>
      </c>
      <c r="J18" s="24" t="n">
        <f aca="false">F18/(F18+D18)</f>
        <v>0.957135746922733</v>
      </c>
      <c r="K18" s="24" t="n">
        <f aca="false">C18/(C18+D18)</f>
        <v>0.778384959244525</v>
      </c>
    </row>
    <row r="19" customFormat="false" ht="15" hidden="false" customHeight="false" outlineLevel="0" collapsed="false">
      <c r="A19" s="17" t="s">
        <v>9</v>
      </c>
      <c r="B19" s="17" t="s">
        <v>115</v>
      </c>
      <c r="C19" s="23" t="n">
        <v>39095920</v>
      </c>
      <c r="D19" s="23" t="n">
        <v>11986906</v>
      </c>
      <c r="E19" s="23" t="n">
        <v>21573394</v>
      </c>
      <c r="F19" s="23" t="n">
        <v>238770852</v>
      </c>
      <c r="G19" s="24" t="n">
        <f aca="false">C19/(C19+E19)</f>
        <v>0.644410121400087</v>
      </c>
      <c r="H19" s="24" t="n">
        <f aca="false">D19/(D19+F19)</f>
        <v>0.0478027323884432</v>
      </c>
      <c r="I19" s="24" t="n">
        <f aca="false">E19/(C19+E19)</f>
        <v>0.355589878599913</v>
      </c>
      <c r="J19" s="24" t="n">
        <f aca="false">F19/(F19+D19)</f>
        <v>0.952197267611557</v>
      </c>
      <c r="K19" s="24" t="n">
        <f aca="false">C19/(C19+D19)</f>
        <v>0.765343718454418</v>
      </c>
    </row>
    <row r="20" customFormat="false" ht="15" hidden="false" customHeight="false" outlineLevel="0" collapsed="false">
      <c r="A20" s="17" t="s">
        <v>9</v>
      </c>
      <c r="B20" s="17" t="s">
        <v>117</v>
      </c>
      <c r="C20" s="23" t="n">
        <v>39585524</v>
      </c>
      <c r="D20" s="23" t="n">
        <v>11674190</v>
      </c>
      <c r="E20" s="23" t="n">
        <v>21083790</v>
      </c>
      <c r="F20" s="23" t="n">
        <v>239083568</v>
      </c>
      <c r="G20" s="24" t="n">
        <f aca="false">C20/(C20+E20)</f>
        <v>0.65248016484907</v>
      </c>
      <c r="H20" s="24" t="n">
        <f aca="false">D20/(D20+F20)</f>
        <v>0.0465556483401004</v>
      </c>
      <c r="I20" s="24" t="n">
        <f aca="false">E20/(C20+E20)</f>
        <v>0.34751983515093</v>
      </c>
      <c r="J20" s="24" t="n">
        <f aca="false">F20/(F20+D20)</f>
        <v>0.9534443516599</v>
      </c>
      <c r="K20" s="24" t="n">
        <f aca="false">C20/(C20+D20)</f>
        <v>0.772254094121555</v>
      </c>
    </row>
    <row r="21" customFormat="false" ht="15" hidden="false" customHeight="false" outlineLevel="0" collapsed="false">
      <c r="A21" s="17" t="s">
        <v>9</v>
      </c>
      <c r="B21" s="17" t="s">
        <v>119</v>
      </c>
      <c r="C21" s="23" t="n">
        <v>38490956</v>
      </c>
      <c r="D21" s="23" t="n">
        <v>11077634</v>
      </c>
      <c r="E21" s="23" t="n">
        <v>22178358</v>
      </c>
      <c r="F21" s="23" t="n">
        <v>239680124</v>
      </c>
      <c r="G21" s="24" t="n">
        <f aca="false">C21/(C21+E21)</f>
        <v>0.634438622464068</v>
      </c>
      <c r="H21" s="24" t="n">
        <f aca="false">D21/(D21+F21)</f>
        <v>0.0441766352050412</v>
      </c>
      <c r="I21" s="24" t="n">
        <f aca="false">E21/(C21+E21)</f>
        <v>0.365561377535932</v>
      </c>
      <c r="J21" s="24" t="n">
        <f aca="false">F21/(F21+D21)</f>
        <v>0.955823364794959</v>
      </c>
      <c r="K21" s="24" t="n">
        <f aca="false">C21/(C21+D21)</f>
        <v>0.776519081942819</v>
      </c>
    </row>
    <row r="22" customFormat="false" ht="15" hidden="false" customHeight="false" outlineLevel="0" collapsed="false">
      <c r="A22" s="17" t="s">
        <v>9</v>
      </c>
      <c r="B22" s="17" t="s">
        <v>121</v>
      </c>
      <c r="C22" s="23" t="n">
        <v>41845130</v>
      </c>
      <c r="D22" s="23" t="n">
        <v>15004110</v>
      </c>
      <c r="E22" s="23" t="n">
        <v>18824184</v>
      </c>
      <c r="F22" s="23" t="n">
        <v>235753648</v>
      </c>
      <c r="G22" s="24" t="n">
        <f aca="false">C22/(C22+E22)</f>
        <v>0.689724792339007</v>
      </c>
      <c r="H22" s="24" t="n">
        <f aca="false">D22/(D22+F22)</f>
        <v>0.0598350779639687</v>
      </c>
      <c r="I22" s="24" t="n">
        <f aca="false">E22/(C22+E22)</f>
        <v>0.310275207660993</v>
      </c>
      <c r="J22" s="24" t="n">
        <f aca="false">F22/(F22+D22)</f>
        <v>0.940164922036031</v>
      </c>
      <c r="K22" s="24" t="n">
        <f aca="false">C22/(C22+D22)</f>
        <v>0.736071933415469</v>
      </c>
    </row>
    <row r="23" customFormat="false" ht="15" hidden="false" customHeight="false" outlineLevel="0" collapsed="false">
      <c r="A23" s="17" t="s">
        <v>9</v>
      </c>
      <c r="B23" s="17" t="s">
        <v>123</v>
      </c>
      <c r="C23" s="23" t="n">
        <v>40851702</v>
      </c>
      <c r="D23" s="23" t="n">
        <v>14107782</v>
      </c>
      <c r="E23" s="23" t="n">
        <v>19817612</v>
      </c>
      <c r="F23" s="23" t="n">
        <v>236649976</v>
      </c>
      <c r="G23" s="24" t="n">
        <f aca="false">C23/(C23+E23)</f>
        <v>0.673350320064605</v>
      </c>
      <c r="H23" s="24" t="n">
        <f aca="false">D23/(D23+F23)</f>
        <v>0.0562606003200906</v>
      </c>
      <c r="I23" s="24" t="n">
        <f aca="false">E23/(C23+E23)</f>
        <v>0.326649679935395</v>
      </c>
      <c r="J23" s="24" t="n">
        <f aca="false">F23/(F23+D23)</f>
        <v>0.943739399679909</v>
      </c>
      <c r="K23" s="24" t="n">
        <f aca="false">C23/(C23+D23)</f>
        <v>0.743305777761669</v>
      </c>
    </row>
    <row r="24" customFormat="false" ht="15" hidden="false" customHeight="false" outlineLevel="0" collapsed="false">
      <c r="A24" s="17" t="s">
        <v>104</v>
      </c>
      <c r="B24" s="17" t="s">
        <v>121</v>
      </c>
      <c r="C24" s="23" t="n">
        <v>43933672</v>
      </c>
      <c r="D24" s="23" t="n">
        <v>16513860</v>
      </c>
      <c r="E24" s="23" t="n">
        <v>16735642</v>
      </c>
      <c r="F24" s="23" t="n">
        <v>234243898</v>
      </c>
      <c r="G24" s="24" t="n">
        <f aca="false">C24/(C24+E24)</f>
        <v>0.724149806605692</v>
      </c>
      <c r="H24" s="24" t="n">
        <f aca="false">D24/(D24+F24)</f>
        <v>0.0658558288752925</v>
      </c>
      <c r="I24" s="24" t="n">
        <f aca="false">E24/(C24+E24)</f>
        <v>0.275850193394308</v>
      </c>
      <c r="J24" s="24" t="n">
        <f aca="false">F24/(F24+D24)</f>
        <v>0.934144171124708</v>
      </c>
      <c r="K24" s="24" t="n">
        <f aca="false">C24/(C24+D24)</f>
        <v>0.72680671230713</v>
      </c>
    </row>
    <row r="25" customFormat="false" ht="15" hidden="false" customHeight="false" outlineLevel="0" collapsed="false">
      <c r="A25" s="17" t="s">
        <v>104</v>
      </c>
      <c r="B25" s="17" t="s">
        <v>174</v>
      </c>
      <c r="C25" s="23" t="n">
        <v>43922234</v>
      </c>
      <c r="D25" s="23" t="n">
        <v>15823048</v>
      </c>
      <c r="E25" s="23" t="n">
        <v>16747080</v>
      </c>
      <c r="F25" s="23" t="n">
        <v>234934710</v>
      </c>
      <c r="G25" s="24" t="n">
        <f aca="false">C25/(C25+E25)</f>
        <v>0.723961276371116</v>
      </c>
      <c r="H25" s="24" t="n">
        <f aca="false">D25/(D25+F25)</f>
        <v>0.0631009310587312</v>
      </c>
      <c r="I25" s="24" t="n">
        <f aca="false">E25/(C25+E25)</f>
        <v>0.276038723628884</v>
      </c>
      <c r="J25" s="24" t="n">
        <f aca="false">F25/(F25+D25)</f>
        <v>0.936899068941269</v>
      </c>
      <c r="K25" s="24" t="n">
        <f aca="false">C25/(C25+D25)</f>
        <v>0.735158200441668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4" t="s">
        <v>203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25" t="s">
        <v>204</v>
      </c>
      <c r="B29" s="25"/>
      <c r="C29" s="25" t="s">
        <v>194</v>
      </c>
      <c r="D29" s="25" t="s">
        <v>195</v>
      </c>
      <c r="E29" s="25" t="s">
        <v>196</v>
      </c>
      <c r="F29" s="25" t="s">
        <v>141</v>
      </c>
      <c r="G29" s="25" t="s">
        <v>205</v>
      </c>
      <c r="H29" s="25" t="s">
        <v>206</v>
      </c>
      <c r="I29" s="2"/>
      <c r="J29" s="2"/>
      <c r="K29" s="2"/>
    </row>
    <row r="30" customFormat="false" ht="15" hidden="false" customHeight="false" outlineLevel="0" collapsed="false">
      <c r="A30" s="17" t="s">
        <v>207</v>
      </c>
      <c r="B30" s="17"/>
      <c r="C30" s="23" t="n">
        <v>57973112</v>
      </c>
      <c r="D30" s="23" t="n">
        <v>5255016</v>
      </c>
      <c r="E30" s="23" t="n">
        <v>4714060</v>
      </c>
      <c r="F30" s="24" t="n">
        <f aca="false">C30/(C30+D30)</f>
        <v>0.916888002757254</v>
      </c>
      <c r="G30" s="24" t="n">
        <f aca="false">C30/(C30+E30)</f>
        <v>0.92480024461783</v>
      </c>
      <c r="H30" s="24" t="n">
        <f aca="false">C30/(C30+D30+E30)</f>
        <v>0.853271195799582</v>
      </c>
      <c r="I30" s="2"/>
      <c r="J30" s="2"/>
      <c r="K30" s="2"/>
    </row>
    <row r="31" customFormat="false" ht="15" hidden="false" customHeight="false" outlineLevel="0" collapsed="false">
      <c r="A31" s="17" t="s">
        <v>208</v>
      </c>
      <c r="B31" s="17"/>
      <c r="C31" s="23" t="n">
        <v>2799411</v>
      </c>
      <c r="D31" s="23" t="n">
        <v>2423630</v>
      </c>
      <c r="E31" s="23" t="n">
        <v>2638245</v>
      </c>
      <c r="F31" s="24" t="n">
        <f aca="false">C31/(C31+D31)</f>
        <v>0.535973391746303</v>
      </c>
      <c r="G31" s="24" t="n">
        <f aca="false">C31/(C31+E31)</f>
        <v>0.514819436904431</v>
      </c>
      <c r="H31" s="24" t="n">
        <f aca="false">C31/(C31+D31+E31)</f>
        <v>0.356100897486747</v>
      </c>
      <c r="I31" s="2"/>
      <c r="J31" s="2"/>
      <c r="K31" s="2"/>
    </row>
    <row r="32" customFormat="false" ht="15" hidden="false" customHeight="false" outlineLevel="0" collapsed="false">
      <c r="A32" s="17" t="s">
        <v>209</v>
      </c>
      <c r="B32" s="17"/>
      <c r="C32" s="23" t="n">
        <v>1818388</v>
      </c>
      <c r="D32" s="23" t="n">
        <v>1606360</v>
      </c>
      <c r="E32" s="23" t="n">
        <v>2044261</v>
      </c>
      <c r="F32" s="24" t="n">
        <f aca="false">C32/(C32+D32)</f>
        <v>0.53095527028558</v>
      </c>
      <c r="G32" s="24" t="n">
        <f aca="false">C32/(C32+E32)</f>
        <v>0.470761904589312</v>
      </c>
      <c r="H32" s="24" t="n">
        <f aca="false">C32/(C32+D32+E32)</f>
        <v>0.332489487583582</v>
      </c>
      <c r="I32" s="2"/>
      <c r="J32" s="2"/>
      <c r="K32" s="2"/>
    </row>
    <row r="33" customFormat="false" ht="15" hidden="false" customHeight="false" outlineLevel="0" collapsed="false">
      <c r="A33" s="17" t="s">
        <v>210</v>
      </c>
      <c r="B33" s="17"/>
      <c r="C33" s="23" t="n">
        <v>359949</v>
      </c>
      <c r="D33" s="23" t="n">
        <v>816554</v>
      </c>
      <c r="E33" s="23" t="n">
        <v>702247</v>
      </c>
      <c r="F33" s="24" t="n">
        <f aca="false">C33/(C33+D33)</f>
        <v>0.305948221126508</v>
      </c>
      <c r="G33" s="24" t="n">
        <f aca="false">C33/(C33+E33)</f>
        <v>0.338872486810344</v>
      </c>
      <c r="H33" s="24" t="n">
        <f aca="false">C33/(C33+D33+E33)</f>
        <v>0.191589620758483</v>
      </c>
      <c r="I33" s="2"/>
      <c r="J33" s="2"/>
      <c r="K33" s="2"/>
    </row>
    <row r="34" customFormat="false" ht="15" hidden="false" customHeight="false" outlineLevel="0" collapsed="false">
      <c r="A34" s="17" t="s">
        <v>211</v>
      </c>
      <c r="B34" s="17"/>
      <c r="C34" s="23" t="n">
        <v>70218</v>
      </c>
      <c r="D34" s="23" t="n">
        <v>231608</v>
      </c>
      <c r="E34" s="23" t="n">
        <v>132606</v>
      </c>
      <c r="F34" s="24" t="n">
        <f aca="false">C34/(C34+D34)</f>
        <v>0.2326439736802</v>
      </c>
      <c r="G34" s="24" t="n">
        <f aca="false">C34/(C34+E34)</f>
        <v>0.346201632942847</v>
      </c>
      <c r="H34" s="24" t="n">
        <f aca="false">C34/(C34+D34+E34)</f>
        <v>0.161631739835003</v>
      </c>
      <c r="I34" s="2"/>
      <c r="J34" s="2"/>
      <c r="K34" s="2"/>
    </row>
    <row r="35" customFormat="false" ht="15" hidden="false" customHeight="false" outlineLevel="0" collapsed="false">
      <c r="A35" s="17" t="s">
        <v>212</v>
      </c>
      <c r="B35" s="17"/>
      <c r="C35" s="23" t="n">
        <v>2843593</v>
      </c>
      <c r="D35" s="23" t="n">
        <v>1530159</v>
      </c>
      <c r="E35" s="23" t="n">
        <v>1648610</v>
      </c>
      <c r="F35" s="24" t="n">
        <f aca="false">C35/(C35+D35)</f>
        <v>0.650149574095651</v>
      </c>
      <c r="G35" s="24" t="n">
        <f aca="false">C35/(C35+E35)</f>
        <v>0.633006344548543</v>
      </c>
      <c r="H35" s="24" t="n">
        <f aca="false">C35/(C35+D35+E35)</f>
        <v>0.47217238020564</v>
      </c>
      <c r="I35" s="2"/>
      <c r="J35" s="2"/>
      <c r="K35" s="2"/>
    </row>
    <row r="36" customFormat="false" ht="15" hidden="false" customHeight="false" outlineLevel="0" collapsed="false">
      <c r="A36" s="17" t="s">
        <v>213</v>
      </c>
      <c r="B36" s="17"/>
      <c r="C36" s="23" t="n">
        <v>62086</v>
      </c>
      <c r="D36" s="23" t="n">
        <v>66684</v>
      </c>
      <c r="E36" s="23" t="n">
        <v>49982</v>
      </c>
      <c r="F36" s="24" t="n">
        <f aca="false">C36/(C36+D36)</f>
        <v>0.482146462685408</v>
      </c>
      <c r="G36" s="24" t="n">
        <f aca="false">C36/(C36+E36)</f>
        <v>0.554002926794446</v>
      </c>
      <c r="H36" s="24" t="n">
        <f aca="false">C36/(C36+D36+E36)</f>
        <v>0.347330379520229</v>
      </c>
      <c r="I36" s="2"/>
      <c r="J36" s="2"/>
      <c r="K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15" hidden="false" customHeight="false" outlineLevel="0" collapsed="false">
      <c r="A38" s="25" t="s">
        <v>214</v>
      </c>
      <c r="B38" s="25"/>
      <c r="C38" s="25" t="s">
        <v>194</v>
      </c>
      <c r="D38" s="25" t="s">
        <v>195</v>
      </c>
      <c r="E38" s="25" t="s">
        <v>196</v>
      </c>
      <c r="F38" s="25" t="s">
        <v>141</v>
      </c>
      <c r="G38" s="25" t="s">
        <v>205</v>
      </c>
      <c r="H38" s="25" t="s">
        <v>206</v>
      </c>
      <c r="I38" s="2"/>
      <c r="J38" s="2"/>
      <c r="K38" s="2"/>
    </row>
    <row r="39" customFormat="false" ht="15" hidden="false" customHeight="false" outlineLevel="0" collapsed="false">
      <c r="A39" s="17" t="s">
        <v>207</v>
      </c>
      <c r="B39" s="17"/>
      <c r="C39" s="23" t="n">
        <v>234934710</v>
      </c>
      <c r="D39" s="23" t="n">
        <v>16747080</v>
      </c>
      <c r="E39" s="23" t="n">
        <v>15823048</v>
      </c>
      <c r="F39" s="24" t="n">
        <f aca="false">C39/(C39+D39)</f>
        <v>0.933459309869022</v>
      </c>
      <c r="G39" s="24" t="n">
        <f aca="false">C39/(C39+E39)</f>
        <v>0.936899068941269</v>
      </c>
      <c r="H39" s="24" t="n">
        <f aca="false">C39/(C39+D39+E39)</f>
        <v>0.878244714213356</v>
      </c>
      <c r="I39" s="2"/>
      <c r="J39" s="2"/>
      <c r="K39" s="2"/>
    </row>
    <row r="40" customFormat="false" ht="15" hidden="false" customHeight="false" outlineLevel="0" collapsed="false">
      <c r="A40" s="17" t="s">
        <v>208</v>
      </c>
      <c r="B40" s="17"/>
      <c r="C40" s="23" t="n">
        <v>12477134</v>
      </c>
      <c r="D40" s="23" t="n">
        <v>8470908</v>
      </c>
      <c r="E40" s="23" t="n">
        <v>9270808</v>
      </c>
      <c r="F40" s="24" t="n">
        <f aca="false">C40/(C40+D40)</f>
        <v>0.595622922657879</v>
      </c>
      <c r="G40" s="24" t="n">
        <f aca="false">C40/(C40+E40)</f>
        <v>0.573715618700841</v>
      </c>
      <c r="H40" s="24" t="n">
        <f aca="false">C40/(C40+D40+E40)</f>
        <v>0.412892416488384</v>
      </c>
      <c r="I40" s="2"/>
      <c r="J40" s="2"/>
      <c r="K40" s="2"/>
    </row>
    <row r="41" customFormat="false" ht="15" hidden="false" customHeight="false" outlineLevel="0" collapsed="false">
      <c r="A41" s="17" t="s">
        <v>209</v>
      </c>
      <c r="B41" s="17"/>
      <c r="C41" s="23" t="n">
        <v>8129072</v>
      </c>
      <c r="D41" s="23" t="n">
        <v>6399826</v>
      </c>
      <c r="E41" s="23" t="n">
        <v>7320546</v>
      </c>
      <c r="F41" s="24" t="n">
        <f aca="false">C41/(C41+D41)</f>
        <v>0.559510569900071</v>
      </c>
      <c r="G41" s="24" t="n">
        <f aca="false">C41/(C41+E41)</f>
        <v>0.526166536933146</v>
      </c>
      <c r="H41" s="24" t="n">
        <f aca="false">C41/(C41+D41+E41)</f>
        <v>0.372049375718668</v>
      </c>
      <c r="I41" s="2"/>
      <c r="J41" s="2"/>
      <c r="K41" s="2"/>
    </row>
    <row r="42" customFormat="false" ht="15" hidden="false" customHeight="false" outlineLevel="0" collapsed="false">
      <c r="A42" s="17" t="s">
        <v>210</v>
      </c>
      <c r="B42" s="17"/>
      <c r="C42" s="23" t="n">
        <v>1388455</v>
      </c>
      <c r="D42" s="23" t="n">
        <v>2107947</v>
      </c>
      <c r="E42" s="23" t="n">
        <v>2859739</v>
      </c>
      <c r="F42" s="24" t="n">
        <f aca="false">C42/(C42+D42)</f>
        <v>0.397109657299132</v>
      </c>
      <c r="G42" s="24" t="n">
        <f aca="false">C42/(C42+E42)</f>
        <v>0.32683417941836</v>
      </c>
      <c r="H42" s="24" t="n">
        <f aca="false">C42/(C42+D42+E42)</f>
        <v>0.218443077332614</v>
      </c>
      <c r="I42" s="2"/>
      <c r="J42" s="2"/>
      <c r="K42" s="2"/>
    </row>
    <row r="43" customFormat="false" ht="15" hidden="false" customHeight="false" outlineLevel="0" collapsed="false">
      <c r="A43" s="17" t="s">
        <v>211</v>
      </c>
      <c r="B43" s="17"/>
      <c r="C43" s="23" t="n">
        <v>285965</v>
      </c>
      <c r="D43" s="23" t="n">
        <v>257918</v>
      </c>
      <c r="E43" s="23" t="n">
        <v>525296</v>
      </c>
      <c r="F43" s="24" t="n">
        <f aca="false">C43/(C43+D43)</f>
        <v>0.525784038111138</v>
      </c>
      <c r="G43" s="24" t="n">
        <f aca="false">C43/(C43+E43)</f>
        <v>0.352494449998213</v>
      </c>
      <c r="H43" s="24" t="n">
        <f aca="false">C43/(C43+D43+E43)</f>
        <v>0.267462230365542</v>
      </c>
      <c r="I43" s="2"/>
      <c r="J43" s="2"/>
      <c r="K43" s="2"/>
    </row>
    <row r="44" customFormat="false" ht="15" hidden="false" customHeight="false" outlineLevel="0" collapsed="false">
      <c r="A44" s="17" t="s">
        <v>212</v>
      </c>
      <c r="B44" s="17"/>
      <c r="C44" s="23" t="n">
        <v>13641866</v>
      </c>
      <c r="D44" s="23" t="n">
        <v>6099136</v>
      </c>
      <c r="E44" s="23" t="n">
        <v>4322726</v>
      </c>
      <c r="F44" s="24" t="n">
        <f aca="false">C44/(C44+D44)</f>
        <v>0.691042227745076</v>
      </c>
      <c r="G44" s="24" t="n">
        <f aca="false">C44/(C44+E44)</f>
        <v>0.759375219876967</v>
      </c>
      <c r="H44" s="24" t="n">
        <f aca="false">C44/(C44+D44+E44)</f>
        <v>0.56690575957308</v>
      </c>
      <c r="I44" s="2"/>
      <c r="J44" s="2"/>
      <c r="K44" s="2"/>
    </row>
    <row r="45" customFormat="false" ht="15" hidden="false" customHeight="false" outlineLevel="0" collapsed="false">
      <c r="A45" s="17" t="s">
        <v>213</v>
      </c>
      <c r="B45" s="17"/>
      <c r="C45" s="23" t="n">
        <v>334148</v>
      </c>
      <c r="D45" s="23" t="n">
        <v>152907</v>
      </c>
      <c r="E45" s="23" t="n">
        <v>113559</v>
      </c>
      <c r="F45" s="24" t="n">
        <f aca="false">C45/(C45+D45)</f>
        <v>0.686058042726181</v>
      </c>
      <c r="G45" s="24" t="n">
        <f aca="false">C45/(C45+E45)</f>
        <v>0.746354200403389</v>
      </c>
      <c r="H45" s="24" t="n">
        <f aca="false">C45/(C45+D45+E45)</f>
        <v>0.556344007965182</v>
      </c>
      <c r="I45" s="2"/>
      <c r="J45" s="2"/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35.8" hidden="false" customHeight="false" outlineLevel="0" collapsed="false">
      <c r="A47" s="15" t="s">
        <v>215</v>
      </c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216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217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193</v>
      </c>
      <c r="B4" s="2"/>
      <c r="C4" s="2"/>
      <c r="D4" s="2"/>
      <c r="E4" s="2"/>
      <c r="F4" s="2"/>
      <c r="G4" s="2"/>
      <c r="H4" s="2"/>
      <c r="I4" s="2"/>
    </row>
    <row r="5" customFormat="false" ht="26.85" hidden="false" customHeight="false" outlineLevel="0" collapsed="false">
      <c r="A5" s="16" t="s">
        <v>88</v>
      </c>
      <c r="B5" s="16" t="s">
        <v>111</v>
      </c>
      <c r="C5" s="16" t="s">
        <v>218</v>
      </c>
      <c r="D5" s="16" t="s">
        <v>219</v>
      </c>
      <c r="E5" s="16" t="s">
        <v>220</v>
      </c>
      <c r="F5" s="16" t="s">
        <v>221</v>
      </c>
      <c r="G5" s="16" t="s">
        <v>222</v>
      </c>
      <c r="H5" s="16" t="s">
        <v>223</v>
      </c>
      <c r="I5" s="16" t="s">
        <v>224</v>
      </c>
    </row>
    <row r="6" customFormat="false" ht="15" hidden="false" customHeight="false" outlineLevel="0" collapsed="false">
      <c r="A6" s="17" t="s">
        <v>201</v>
      </c>
      <c r="B6" s="17" t="s">
        <v>115</v>
      </c>
      <c r="C6" s="17" t="n">
        <v>19</v>
      </c>
      <c r="D6" s="17" t="n">
        <v>20</v>
      </c>
      <c r="E6" s="18" t="n">
        <v>18.04</v>
      </c>
      <c r="F6" s="18" t="n">
        <v>9.96</v>
      </c>
      <c r="G6" s="18" t="n">
        <f aca="false">E6-F6</f>
        <v>8.08</v>
      </c>
      <c r="H6" s="18" t="n">
        <v>0.26</v>
      </c>
      <c r="I6" s="17" t="str">
        <f aca="false">IF(G6&gt;10,"Overfitting risk",IF(G6&gt;5,"Mild gap - acceptable","Balanced (good fit)"))</f>
        <v>Mild gap - acceptable</v>
      </c>
    </row>
    <row r="7" customFormat="false" ht="15" hidden="false" customHeight="false" outlineLevel="0" collapsed="false">
      <c r="A7" s="17" t="s">
        <v>171</v>
      </c>
      <c r="B7" s="17" t="s">
        <v>115</v>
      </c>
      <c r="C7" s="17" t="n">
        <v>9</v>
      </c>
      <c r="D7" s="17" t="n">
        <v>20</v>
      </c>
      <c r="E7" s="18" t="n">
        <v>15.61</v>
      </c>
      <c r="F7" s="18" t="n">
        <v>12.41</v>
      </c>
      <c r="G7" s="18" t="n">
        <f aca="false">E7-F7</f>
        <v>3.2</v>
      </c>
      <c r="H7" s="18" t="n">
        <v>0.39</v>
      </c>
      <c r="I7" s="17" t="str">
        <f aca="false">IF(G7&gt;10,"Overfitting risk",IF(G7&gt;5,"Mild gap - acceptable","Balanced (good fit)"))</f>
        <v>Balanced (good fit)</v>
      </c>
    </row>
    <row r="8" customFormat="false" ht="15" hidden="false" customHeight="false" outlineLevel="0" collapsed="false">
      <c r="A8" s="17" t="s">
        <v>9</v>
      </c>
      <c r="B8" s="17" t="s">
        <v>115</v>
      </c>
      <c r="C8" s="17" t="n">
        <v>12</v>
      </c>
      <c r="D8" s="17" t="n">
        <v>20</v>
      </c>
      <c r="E8" s="18" t="n">
        <v>19.34</v>
      </c>
      <c r="F8" s="18" t="n">
        <v>13.32</v>
      </c>
      <c r="G8" s="18" t="n">
        <f aca="false">E8-F8</f>
        <v>6.02</v>
      </c>
      <c r="H8" s="18" t="n">
        <v>0.45</v>
      </c>
      <c r="I8" s="17" t="str">
        <f aca="false">IF(G8&gt;10,"Overfitting risk",IF(G8&gt;5,"Mild gap - acceptable","Balanced (good fit)"))</f>
        <v>Mild gap - acceptable</v>
      </c>
    </row>
    <row r="9" customFormat="false" ht="15" hidden="false" customHeight="false" outlineLevel="0" collapsed="false">
      <c r="A9" s="17" t="s">
        <v>9</v>
      </c>
      <c r="B9" s="17" t="s">
        <v>117</v>
      </c>
      <c r="C9" s="17" t="n">
        <v>15</v>
      </c>
      <c r="D9" s="17" t="n">
        <v>20</v>
      </c>
      <c r="E9" s="18" t="n">
        <v>22.46</v>
      </c>
      <c r="F9" s="18" t="n">
        <v>13.54</v>
      </c>
      <c r="G9" s="18" t="n">
        <f aca="false">E9-F9</f>
        <v>8.92</v>
      </c>
      <c r="H9" s="18" t="n">
        <v>0.2</v>
      </c>
      <c r="I9" s="17" t="str">
        <f aca="false">IF(G9&gt;10,"Overfitting risk",IF(G9&gt;5,"Mild gap - acceptable","Balanced (good fit)"))</f>
        <v>Mild gap - acceptable</v>
      </c>
    </row>
    <row r="10" customFormat="false" ht="15" hidden="false" customHeight="false" outlineLevel="0" collapsed="false">
      <c r="A10" s="17" t="s">
        <v>9</v>
      </c>
      <c r="B10" s="17" t="s">
        <v>119</v>
      </c>
      <c r="C10" s="17" t="n">
        <v>15</v>
      </c>
      <c r="D10" s="17" t="n">
        <v>20</v>
      </c>
      <c r="E10" s="18" t="n">
        <v>23.17</v>
      </c>
      <c r="F10" s="18" t="n">
        <v>13.29</v>
      </c>
      <c r="G10" s="18" t="n">
        <f aca="false">E10-F10</f>
        <v>9.88</v>
      </c>
      <c r="H10" s="18" t="n">
        <v>0.35</v>
      </c>
      <c r="I10" s="17" t="str">
        <f aca="false">IF(G10&gt;10,"Overfitting risk",IF(G10&gt;5,"Mild gap - acceptable","Balanced (good fit)"))</f>
        <v>Mild gap - acceptable</v>
      </c>
    </row>
    <row r="11" customFormat="false" ht="15" hidden="false" customHeight="false" outlineLevel="0" collapsed="false">
      <c r="A11" s="17" t="s">
        <v>9</v>
      </c>
      <c r="B11" s="17" t="s">
        <v>121</v>
      </c>
      <c r="C11" s="17" t="n">
        <v>14</v>
      </c>
      <c r="D11" s="17" t="n">
        <v>20</v>
      </c>
      <c r="E11" s="18" t="n">
        <v>22.34</v>
      </c>
      <c r="F11" s="18" t="n">
        <v>14</v>
      </c>
      <c r="G11" s="18" t="n">
        <f aca="false">E11-F11</f>
        <v>8.34</v>
      </c>
      <c r="H11" s="18" t="n">
        <v>0.32</v>
      </c>
      <c r="I11" s="17" t="str">
        <f aca="false">IF(G11&gt;10,"Overfitting risk",IF(G11&gt;5,"Mild gap - acceptable","Balanced (good fit)"))</f>
        <v>Mild gap - acceptable</v>
      </c>
    </row>
    <row r="12" customFormat="false" ht="15" hidden="false" customHeight="false" outlineLevel="0" collapsed="false">
      <c r="A12" s="17" t="s">
        <v>9</v>
      </c>
      <c r="B12" s="17" t="s">
        <v>123</v>
      </c>
      <c r="C12" s="17" t="n">
        <v>15</v>
      </c>
      <c r="D12" s="17" t="n">
        <v>20</v>
      </c>
      <c r="E12" s="18" t="n">
        <v>22.5</v>
      </c>
      <c r="F12" s="18" t="n">
        <v>14.27</v>
      </c>
      <c r="G12" s="18" t="n">
        <f aca="false">E12-F12</f>
        <v>8.23</v>
      </c>
      <c r="H12" s="18" t="n">
        <v>0.15</v>
      </c>
      <c r="I12" s="17" t="str">
        <f aca="false">IF(G12&gt;10,"Overfitting risk",IF(G12&gt;5,"Mild gap - acceptable","Balanced (good fit)"))</f>
        <v>Mild gap - acceptable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4" t="s">
        <v>202</v>
      </c>
      <c r="B15" s="2"/>
      <c r="C15" s="2"/>
      <c r="D15" s="2"/>
      <c r="E15" s="2"/>
      <c r="F15" s="2"/>
      <c r="G15" s="2"/>
      <c r="H15" s="2"/>
      <c r="I15" s="2"/>
    </row>
    <row r="16" customFormat="false" ht="26.85" hidden="false" customHeight="false" outlineLevel="0" collapsed="false">
      <c r="A16" s="16" t="s">
        <v>88</v>
      </c>
      <c r="B16" s="16" t="s">
        <v>111</v>
      </c>
      <c r="C16" s="16" t="s">
        <v>218</v>
      </c>
      <c r="D16" s="16" t="s">
        <v>219</v>
      </c>
      <c r="E16" s="16" t="s">
        <v>220</v>
      </c>
      <c r="F16" s="16" t="s">
        <v>221</v>
      </c>
      <c r="G16" s="16" t="s">
        <v>222</v>
      </c>
      <c r="H16" s="16" t="s">
        <v>223</v>
      </c>
      <c r="I16" s="16" t="s">
        <v>224</v>
      </c>
    </row>
    <row r="17" customFormat="false" ht="15" hidden="false" customHeight="false" outlineLevel="0" collapsed="false">
      <c r="A17" s="17" t="s">
        <v>92</v>
      </c>
      <c r="B17" s="17" t="s">
        <v>115</v>
      </c>
      <c r="C17" s="17" t="n">
        <v>29</v>
      </c>
      <c r="D17" s="17" t="n">
        <v>30</v>
      </c>
      <c r="E17" s="18" t="n">
        <v>13.14</v>
      </c>
      <c r="F17" s="18" t="n">
        <v>14.77</v>
      </c>
      <c r="G17" s="18" t="n">
        <f aca="false">E17-F17</f>
        <v>-1.63</v>
      </c>
      <c r="H17" s="18" t="n">
        <v>0.58</v>
      </c>
      <c r="I17" s="17" t="str">
        <f aca="false">IF(G17&gt;10,"Overfitting risk",IF(G17&gt;5,"Mild gap - acceptable","Balanced (good fit)"))</f>
        <v>Balanced (good fit)</v>
      </c>
    </row>
    <row r="18" customFormat="false" ht="15" hidden="false" customHeight="false" outlineLevel="0" collapsed="false">
      <c r="A18" s="17" t="s">
        <v>171</v>
      </c>
      <c r="B18" s="17" t="s">
        <v>115</v>
      </c>
      <c r="C18" s="17" t="n">
        <v>21</v>
      </c>
      <c r="D18" s="17" t="n">
        <v>30</v>
      </c>
      <c r="E18" s="18" t="n">
        <v>19.45</v>
      </c>
      <c r="F18" s="18" t="n">
        <v>19.14</v>
      </c>
      <c r="G18" s="18" t="n">
        <f aca="false">E18-F18</f>
        <v>0.309999999999999</v>
      </c>
      <c r="H18" s="18" t="n">
        <v>0.64</v>
      </c>
      <c r="I18" s="17" t="str">
        <f aca="false">IF(G18&gt;10,"Overfitting risk",IF(G18&gt;5,"Mild gap - acceptable","Balanced (good fit)"))</f>
        <v>Balanced (good fit)</v>
      </c>
    </row>
    <row r="19" customFormat="false" ht="15" hidden="false" customHeight="false" outlineLevel="0" collapsed="false">
      <c r="A19" s="17" t="s">
        <v>9</v>
      </c>
      <c r="B19" s="17" t="s">
        <v>115</v>
      </c>
      <c r="C19" s="17" t="n">
        <v>27</v>
      </c>
      <c r="D19" s="17" t="n">
        <v>30</v>
      </c>
      <c r="E19" s="18" t="n">
        <v>22.26</v>
      </c>
      <c r="F19" s="18" t="n">
        <v>20.6</v>
      </c>
      <c r="G19" s="18" t="n">
        <f aca="false">E19-F19</f>
        <v>1.66</v>
      </c>
      <c r="H19" s="18" t="n">
        <v>0.25</v>
      </c>
      <c r="I19" s="17" t="str">
        <f aca="false">IF(G19&gt;10,"Overfitting risk",IF(G19&gt;5,"Mild gap - acceptable","Balanced (good fit)"))</f>
        <v>Balanced (good fit)</v>
      </c>
    </row>
    <row r="20" customFormat="false" ht="15" hidden="false" customHeight="false" outlineLevel="0" collapsed="false">
      <c r="A20" s="17" t="s">
        <v>9</v>
      </c>
      <c r="B20" s="17" t="s">
        <v>117</v>
      </c>
      <c r="C20" s="17" t="n">
        <v>28</v>
      </c>
      <c r="D20" s="17" t="n">
        <v>30</v>
      </c>
      <c r="E20" s="18" t="n">
        <v>21.43</v>
      </c>
      <c r="F20" s="18" t="n">
        <v>19.95</v>
      </c>
      <c r="G20" s="18" t="n">
        <f aca="false">E20-F20</f>
        <v>1.48</v>
      </c>
      <c r="H20" s="18" t="n">
        <v>0.16</v>
      </c>
      <c r="I20" s="17" t="str">
        <f aca="false">IF(G20&gt;10,"Overfitting risk",IF(G20&gt;5,"Mild gap - acceptable","Balanced (good fit)"))</f>
        <v>Balanced (good fit)</v>
      </c>
    </row>
    <row r="21" customFormat="false" ht="15" hidden="false" customHeight="false" outlineLevel="0" collapsed="false">
      <c r="A21" s="17" t="s">
        <v>9</v>
      </c>
      <c r="B21" s="17" t="s">
        <v>119</v>
      </c>
      <c r="C21" s="17" t="n">
        <v>24</v>
      </c>
      <c r="D21" s="17" t="n">
        <v>30</v>
      </c>
      <c r="E21" s="18" t="n">
        <v>21.72</v>
      </c>
      <c r="F21" s="18" t="n">
        <v>20.21</v>
      </c>
      <c r="G21" s="18" t="n">
        <f aca="false">E21-F21</f>
        <v>1.51</v>
      </c>
      <c r="H21" s="18" t="n">
        <v>0.25</v>
      </c>
      <c r="I21" s="17" t="str">
        <f aca="false">IF(G21&gt;10,"Overfitting risk",IF(G21&gt;5,"Mild gap - acceptable","Balanced (good fit)"))</f>
        <v>Balanced (good fit)</v>
      </c>
    </row>
    <row r="22" customFormat="false" ht="15" hidden="false" customHeight="false" outlineLevel="0" collapsed="false">
      <c r="A22" s="17" t="s">
        <v>9</v>
      </c>
      <c r="B22" s="17" t="s">
        <v>121</v>
      </c>
      <c r="C22" s="17" t="n">
        <v>28</v>
      </c>
      <c r="D22" s="17" t="n">
        <v>30</v>
      </c>
      <c r="E22" s="18" t="n">
        <v>23.39</v>
      </c>
      <c r="F22" s="18" t="n">
        <v>21.38</v>
      </c>
      <c r="G22" s="18" t="n">
        <f aca="false">E22-F22</f>
        <v>2.01</v>
      </c>
      <c r="H22" s="18" t="n">
        <v>0.25</v>
      </c>
      <c r="I22" s="17" t="str">
        <f aca="false">IF(G22&gt;10,"Overfitting risk",IF(G22&gt;5,"Mild gap - acceptable","Balanced (good fit)"))</f>
        <v>Balanced (good fit)</v>
      </c>
    </row>
    <row r="23" customFormat="false" ht="15" hidden="false" customHeight="false" outlineLevel="0" collapsed="false">
      <c r="A23" s="17" t="s">
        <v>9</v>
      </c>
      <c r="B23" s="17" t="s">
        <v>123</v>
      </c>
      <c r="C23" s="17" t="n">
        <v>24</v>
      </c>
      <c r="D23" s="17" t="n">
        <v>30</v>
      </c>
      <c r="E23" s="18" t="n">
        <v>22.53</v>
      </c>
      <c r="F23" s="18" t="n">
        <v>21.01</v>
      </c>
      <c r="G23" s="18" t="n">
        <f aca="false">E23-F23</f>
        <v>1.52</v>
      </c>
      <c r="H23" s="18" t="n">
        <v>0.43</v>
      </c>
      <c r="I23" s="17" t="str">
        <f aca="false">IF(G23&gt;10,"Overfitting risk",IF(G23&gt;5,"Mild gap - acceptable","Balanced (good fit)"))</f>
        <v>Balanced (good fit)</v>
      </c>
    </row>
    <row r="24" customFormat="false" ht="15" hidden="false" customHeight="false" outlineLevel="0" collapsed="false">
      <c r="A24" s="17" t="s">
        <v>104</v>
      </c>
      <c r="B24" s="17" t="s">
        <v>121</v>
      </c>
      <c r="C24" s="17" t="n">
        <v>24</v>
      </c>
      <c r="D24" s="17" t="n">
        <v>50</v>
      </c>
      <c r="E24" s="18" t="n">
        <v>24.55</v>
      </c>
      <c r="F24" s="18" t="n">
        <v>22.55</v>
      </c>
      <c r="G24" s="18" t="n">
        <f aca="false">E24-F24</f>
        <v>2</v>
      </c>
      <c r="H24" s="18" t="n">
        <v>0.83</v>
      </c>
      <c r="I24" s="17" t="str">
        <f aca="false">IF(G24&gt;10,"Overfitting risk",IF(G24&gt;5,"Mild gap - acceptable","Balanced (good fit)"))</f>
        <v>Balanced (good fit)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27.75" hidden="false" customHeight="true" outlineLevel="0" collapsed="false">
      <c r="A27" s="26" t="s">
        <v>225</v>
      </c>
      <c r="B27" s="26"/>
      <c r="C27" s="26"/>
      <c r="D27" s="26"/>
      <c r="E27" s="26"/>
      <c r="F27" s="26"/>
      <c r="G27" s="26"/>
      <c r="H27" s="26"/>
      <c r="I27" s="26"/>
    </row>
    <row r="28" customFormat="false" ht="27.75" hidden="false" customHeight="true" outlineLevel="0" collapsed="false">
      <c r="A28" s="13" t="s">
        <v>226</v>
      </c>
      <c r="B28" s="13"/>
      <c r="C28" s="13"/>
      <c r="D28" s="13"/>
      <c r="E28" s="13"/>
      <c r="F28" s="13"/>
      <c r="G28" s="13"/>
      <c r="H28" s="13"/>
      <c r="I28" s="13"/>
    </row>
    <row r="29" customFormat="false" ht="27.75" hidden="false" customHeight="true" outlineLevel="0" collapsed="false">
      <c r="A29" s="13" t="s">
        <v>227</v>
      </c>
      <c r="B29" s="13"/>
      <c r="C29" s="13"/>
      <c r="D29" s="13"/>
      <c r="E29" s="13"/>
      <c r="F29" s="13"/>
      <c r="G29" s="13"/>
      <c r="H29" s="13"/>
      <c r="I29" s="13"/>
    </row>
    <row r="30" customFormat="false" ht="27.75" hidden="false" customHeight="true" outlineLevel="0" collapsed="false">
      <c r="A30" s="13" t="s">
        <v>228</v>
      </c>
      <c r="B30" s="13"/>
      <c r="C30" s="13"/>
      <c r="D30" s="13"/>
      <c r="E30" s="13"/>
      <c r="F30" s="13"/>
      <c r="G30" s="13"/>
      <c r="H30" s="13"/>
      <c r="I30" s="13"/>
    </row>
  </sheetData>
  <mergeCells count="4">
    <mergeCell ref="A27:I27"/>
    <mergeCell ref="A28:I28"/>
    <mergeCell ref="A29:I29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229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230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5" t="s">
        <v>231</v>
      </c>
      <c r="B4" s="5" t="s">
        <v>232</v>
      </c>
      <c r="C4" s="5" t="s">
        <v>22</v>
      </c>
      <c r="D4" s="5" t="s">
        <v>20</v>
      </c>
      <c r="E4" s="5" t="s">
        <v>233</v>
      </c>
      <c r="F4" s="5" t="s">
        <v>18</v>
      </c>
      <c r="G4" s="5" t="s">
        <v>234</v>
      </c>
    </row>
    <row r="5" customFormat="false" ht="15" hidden="false" customHeight="false" outlineLevel="0" collapsed="false">
      <c r="A5" s="6" t="s">
        <v>235</v>
      </c>
      <c r="B5" s="6" t="s">
        <v>236</v>
      </c>
      <c r="C5" s="9"/>
      <c r="D5" s="9" t="n">
        <v>70</v>
      </c>
      <c r="E5" s="9" t="n">
        <v>16.8</v>
      </c>
      <c r="F5" s="9"/>
      <c r="G5" s="6" t="s">
        <v>237</v>
      </c>
    </row>
    <row r="6" customFormat="false" ht="15" hidden="false" customHeight="false" outlineLevel="0" collapsed="false">
      <c r="A6" s="6" t="s">
        <v>238</v>
      </c>
      <c r="B6" s="6" t="s">
        <v>239</v>
      </c>
      <c r="C6" s="9" t="n">
        <v>86.62</v>
      </c>
      <c r="D6" s="9" t="n">
        <v>71.15</v>
      </c>
      <c r="E6" s="9" t="n">
        <v>18.8</v>
      </c>
      <c r="F6" s="9" t="n">
        <v>58.21</v>
      </c>
      <c r="G6" s="6" t="s">
        <v>240</v>
      </c>
    </row>
    <row r="7" customFormat="false" ht="15" hidden="false" customHeight="false" outlineLevel="0" collapsed="false">
      <c r="A7" s="6" t="s">
        <v>241</v>
      </c>
      <c r="B7" s="6" t="s">
        <v>242</v>
      </c>
      <c r="C7" s="9" t="n">
        <v>87.64</v>
      </c>
      <c r="D7" s="9" t="n">
        <v>70.31</v>
      </c>
      <c r="E7" s="9" t="n">
        <v>20.36</v>
      </c>
      <c r="F7" s="9" t="n">
        <v>60.25</v>
      </c>
      <c r="G7" s="6" t="s">
        <v>243</v>
      </c>
    </row>
    <row r="8" customFormat="false" ht="23.85" hidden="false" customHeight="false" outlineLevel="0" collapsed="false">
      <c r="A8" s="7" t="s">
        <v>244</v>
      </c>
      <c r="B8" s="7" t="s">
        <v>245</v>
      </c>
      <c r="C8" s="8" t="n">
        <v>87.08</v>
      </c>
      <c r="D8" s="8" t="n">
        <v>72.62</v>
      </c>
      <c r="E8" s="8" t="n">
        <v>21</v>
      </c>
      <c r="F8" s="8" t="n">
        <v>60.22</v>
      </c>
      <c r="G8" s="7" t="s">
        <v>246</v>
      </c>
    </row>
    <row r="9" customFormat="false" ht="15" hidden="false" customHeight="false" outlineLevel="0" collapsed="false">
      <c r="A9" s="6" t="s">
        <v>247</v>
      </c>
      <c r="B9" s="6" t="s">
        <v>248</v>
      </c>
      <c r="C9" s="9" t="n">
        <v>87.19</v>
      </c>
      <c r="D9" s="9" t="n">
        <v>72.6</v>
      </c>
      <c r="E9" s="9" t="n">
        <v>21.86</v>
      </c>
      <c r="F9" s="9" t="n">
        <v>61.22</v>
      </c>
      <c r="G9" s="6" t="s">
        <v>249</v>
      </c>
    </row>
    <row r="10" customFormat="false" ht="15" hidden="false" customHeight="false" outlineLevel="0" collapsed="false">
      <c r="A10" s="6" t="s">
        <v>250</v>
      </c>
      <c r="B10" s="6" t="s">
        <v>248</v>
      </c>
      <c r="C10" s="9" t="n">
        <v>87.48</v>
      </c>
      <c r="D10" s="9" t="n">
        <v>73.38</v>
      </c>
      <c r="E10" s="9" t="n">
        <v>22.43</v>
      </c>
      <c r="F10" s="9" t="n">
        <v>61.62</v>
      </c>
      <c r="G10" s="6" t="s">
        <v>251</v>
      </c>
    </row>
    <row r="11" customFormat="false" ht="15" hidden="false" customHeight="false" outlineLevel="0" collapsed="false">
      <c r="A11" s="6" t="s">
        <v>252</v>
      </c>
      <c r="B11" s="6" t="s">
        <v>253</v>
      </c>
      <c r="C11" s="9" t="n">
        <v>87.46</v>
      </c>
      <c r="D11" s="9" t="n">
        <v>73.2</v>
      </c>
      <c r="E11" s="9" t="n">
        <v>23.34</v>
      </c>
      <c r="F11" s="9" t="n">
        <v>62.59</v>
      </c>
      <c r="G11" s="6" t="s">
        <v>254</v>
      </c>
    </row>
    <row r="12" customFormat="false" ht="15" hidden="false" customHeight="false" outlineLevel="0" collapsed="false">
      <c r="A12" s="6" t="s">
        <v>255</v>
      </c>
      <c r="B12" s="6" t="s">
        <v>256</v>
      </c>
      <c r="C12" s="9" t="n">
        <v>88.1</v>
      </c>
      <c r="D12" s="9" t="n">
        <v>73.45</v>
      </c>
      <c r="E12" s="9" t="n">
        <v>23.61</v>
      </c>
      <c r="F12" s="9" t="n">
        <v>63.8</v>
      </c>
      <c r="G12" s="6"/>
    </row>
    <row r="13" customFormat="false" ht="15" hidden="false" customHeight="false" outlineLevel="0" collapsed="false">
      <c r="A13" s="6" t="s">
        <v>257</v>
      </c>
      <c r="B13" s="6" t="s">
        <v>253</v>
      </c>
      <c r="C13" s="9" t="n">
        <v>87.8</v>
      </c>
      <c r="D13" s="9" t="n">
        <v>73.76</v>
      </c>
      <c r="E13" s="9" t="n">
        <v>23.73</v>
      </c>
      <c r="F13" s="9" t="n">
        <v>62.73</v>
      </c>
      <c r="G13" s="6"/>
    </row>
    <row r="14" customFormat="false" ht="15" hidden="false" customHeight="false" outlineLevel="0" collapsed="false">
      <c r="A14" s="6" t="s">
        <v>258</v>
      </c>
      <c r="B14" s="6" t="s">
        <v>253</v>
      </c>
      <c r="C14" s="9" t="n">
        <v>88.12</v>
      </c>
      <c r="D14" s="9" t="n">
        <v>73.68</v>
      </c>
      <c r="E14" s="9" t="n">
        <v>24.11</v>
      </c>
      <c r="F14" s="9" t="n">
        <v>64.03</v>
      </c>
      <c r="G14" s="6" t="s">
        <v>259</v>
      </c>
    </row>
    <row r="15" customFormat="false" ht="15" hidden="false" customHeight="false" outlineLevel="0" collapsed="false">
      <c r="A15" s="6" t="s">
        <v>260</v>
      </c>
      <c r="B15" s="6" t="s">
        <v>261</v>
      </c>
      <c r="C15" s="9" t="n">
        <v>88.23</v>
      </c>
      <c r="D15" s="9" t="n">
        <v>73.74</v>
      </c>
      <c r="E15" s="9" t="n">
        <v>24.12</v>
      </c>
      <c r="F15" s="9" t="n">
        <v>64.08</v>
      </c>
      <c r="G15" s="6" t="s">
        <v>262</v>
      </c>
    </row>
    <row r="16" customFormat="false" ht="15" hidden="false" customHeight="false" outlineLevel="0" collapsed="false">
      <c r="A16" s="6" t="s">
        <v>263</v>
      </c>
      <c r="B16" s="6" t="s">
        <v>264</v>
      </c>
      <c r="C16" s="9" t="n">
        <v>87.66</v>
      </c>
      <c r="D16" s="9" t="n">
        <v>74.01</v>
      </c>
      <c r="E16" s="9" t="n">
        <v>24.32</v>
      </c>
      <c r="F16" s="9" t="n">
        <v>63.2</v>
      </c>
      <c r="G16" s="6" t="s">
        <v>249</v>
      </c>
    </row>
    <row r="17" customFormat="false" ht="23.85" hidden="false" customHeight="false" outlineLevel="0" collapsed="false">
      <c r="A17" s="6" t="s">
        <v>265</v>
      </c>
      <c r="B17" s="6" t="s">
        <v>266</v>
      </c>
      <c r="C17" s="9" t="n">
        <v>88.62</v>
      </c>
      <c r="D17" s="9" t="n">
        <v>74.07</v>
      </c>
      <c r="E17" s="9" t="n">
        <v>25.5</v>
      </c>
      <c r="F17" s="9" t="n">
        <v>65.78</v>
      </c>
      <c r="G17" s="6" t="s">
        <v>267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10" t="s">
        <v>268</v>
      </c>
      <c r="B19" s="2"/>
      <c r="C19" s="2"/>
      <c r="D19" s="2"/>
      <c r="E19" s="2" t="n">
        <f aca="false">COUNTIF(E5:E17,"&lt;"&amp;E8)</f>
        <v>3</v>
      </c>
      <c r="F19" s="2"/>
      <c r="G19" s="2"/>
    </row>
    <row r="20" customFormat="false" ht="15" hidden="false" customHeight="false" outlineLevel="0" collapsed="false">
      <c r="A20" s="10" t="s">
        <v>269</v>
      </c>
      <c r="B20" s="2"/>
      <c r="C20" s="2"/>
      <c r="D20" s="2"/>
      <c r="E20" s="21" t="n">
        <f aca="false">E17-E8</f>
        <v>4.5</v>
      </c>
      <c r="F20" s="2"/>
      <c r="G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27.75" hidden="false" customHeight="true" outlineLevel="0" collapsed="false">
      <c r="A22" s="26" t="s">
        <v>270</v>
      </c>
      <c r="B22" s="26"/>
      <c r="C22" s="26"/>
      <c r="D22" s="26"/>
      <c r="E22" s="26"/>
      <c r="F22" s="26"/>
      <c r="G22" s="26"/>
    </row>
    <row r="23" customFormat="false" ht="27.75" hidden="false" customHeight="true" outlineLevel="0" collapsed="false">
      <c r="A23" s="13" t="s">
        <v>271</v>
      </c>
      <c r="B23" s="13"/>
      <c r="C23" s="13"/>
      <c r="D23" s="13"/>
      <c r="E23" s="13"/>
      <c r="F23" s="13"/>
      <c r="G23" s="13"/>
    </row>
    <row r="24" customFormat="false" ht="27.75" hidden="false" customHeight="true" outlineLevel="0" collapsed="false">
      <c r="A24" s="13" t="s">
        <v>272</v>
      </c>
      <c r="B24" s="13"/>
      <c r="C24" s="13"/>
      <c r="D24" s="13"/>
      <c r="E24" s="13"/>
      <c r="F24" s="13"/>
      <c r="G24" s="13"/>
    </row>
  </sheetData>
  <mergeCells count="3">
    <mergeCell ref="A22:G22"/>
    <mergeCell ref="A23:G2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7" t="s">
        <v>274</v>
      </c>
    </row>
    <row r="4" customFormat="false" ht="23.85" hidden="false" customHeight="false" outlineLevel="0" collapsed="false">
      <c r="A4" s="14" t="s">
        <v>275</v>
      </c>
    </row>
    <row r="5" customFormat="false" ht="15" hidden="false" customHeight="false" outlineLevel="0" collapsed="false">
      <c r="A5" s="14" t="s">
        <v>276</v>
      </c>
    </row>
    <row r="6" customFormat="false" ht="23.85" hidden="false" customHeight="false" outlineLevel="0" collapsed="false">
      <c r="A6" s="14" t="s">
        <v>277</v>
      </c>
    </row>
    <row r="7" customFormat="false" ht="15" hidden="false" customHeight="false" outlineLevel="0" collapsed="false">
      <c r="A7" s="14" t="s">
        <v>278</v>
      </c>
    </row>
    <row r="8" customFormat="false" ht="15" hidden="false" customHeight="false" outlineLevel="0" collapsed="false">
      <c r="A8" s="14"/>
    </row>
    <row r="9" customFormat="false" ht="15" hidden="false" customHeight="false" outlineLevel="0" collapsed="false">
      <c r="A9" s="27" t="s">
        <v>279</v>
      </c>
    </row>
    <row r="10" customFormat="false" ht="15" hidden="false" customHeight="false" outlineLevel="0" collapsed="false">
      <c r="A10" s="14" t="s">
        <v>280</v>
      </c>
    </row>
    <row r="11" customFormat="false" ht="15" hidden="false" customHeight="false" outlineLevel="0" collapsed="false">
      <c r="A11" s="14"/>
    </row>
    <row r="12" customFormat="false" ht="15" hidden="false" customHeight="false" outlineLevel="0" collapsed="false">
      <c r="A12" s="27" t="s">
        <v>281</v>
      </c>
    </row>
    <row r="13" customFormat="false" ht="15" hidden="false" customHeight="false" outlineLevel="0" collapsed="false">
      <c r="A13" s="14" t="s">
        <v>282</v>
      </c>
    </row>
    <row r="14" customFormat="false" ht="15" hidden="false" customHeight="false" outlineLevel="0" collapsed="false">
      <c r="A14" s="14" t="s">
        <v>283</v>
      </c>
    </row>
    <row r="15" customFormat="false" ht="23.85" hidden="false" customHeight="false" outlineLevel="0" collapsed="false">
      <c r="A15" s="14" t="s">
        <v>284</v>
      </c>
    </row>
    <row r="16" customFormat="false" ht="15" hidden="false" customHeight="false" outlineLevel="0" collapsed="false">
      <c r="A16" s="14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2026-10-16T05:32:01Z</dcterms:created>
  <dc:creator>openpyxl</dc:creator>
  <dc:description/>
  <dc:language>en-US</dc:language>
  <cp:lastModifiedBy/>
  <dcterms:modified xsi:type="dcterms:W3CDTF">2026-10-16T05:32:01Z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